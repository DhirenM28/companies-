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Income Statement" sheetId="2" state="visible" r:id="rId4"/>
    <sheet name="Balance Sheet" sheetId="3" state="visible" r:id="rId5"/>
    <sheet name="Cash Flow Statement" sheetId="4" state="visible" r:id="rId6"/>
    <sheet name="Revenue and Cost Forecast" sheetId="5" state="visible" r:id="rId7"/>
    <sheet name="Depreciation Capex Forecast" sheetId="6" state="visible" r:id="rId8"/>
    <sheet name="Working Capital Forecast" sheetId="7" state="visible" r:id="rId9"/>
    <sheet name="Amortization Forecast" sheetId="8" state="visible" r:id="rId10"/>
    <sheet name="Shareholder's Equity Forecast" sheetId="9" state="visible" r:id="rId11"/>
    <sheet name="Debt Forecast" sheetId="10" state="visible" r:id="rId12"/>
    <sheet name="Other Assets &amp; Liabilities" sheetId="11" state="visible" r:id="rId13"/>
    <sheet name="Relative Valuations" sheetId="12" state="visible" r:id="rId14"/>
    <sheet name="DCF Valuations" sheetId="13" state="visible" r:id="rId15"/>
    <sheet name="Cost of Capital Calculation" sheetId="14" state="visible" r:id="rId16"/>
    <sheet name="Beta Calculation" sheetId="15" state="visible" r:id="rId17"/>
  </sheets>
  <externalReferences>
    <externalReference r:id="rId18"/>
  </externalReferences>
  <definedNames>
    <definedName function="false" hidden="false" localSheetId="11" name="_xlnm.Print_Area" vbProcedure="false">'Relative Valuations'!$A$1:$S$86</definedName>
    <definedName function="false" hidden="true" name="CIQWBGuid" vbProcedure="false">"4c07ec0d-a4bd-43e1-8f7d-edc964c69827"</definedName>
    <definedName function="false" hidden="false" name="Company_Name" vbProcedure="false">[1]Inputs!$H$4</definedName>
    <definedName function="false" hidden="true" name="IQRCOMPSE5" vbProcedure="false">#REF!</definedName>
    <definedName function="false" hidden="true" name="IQ_CH" vbProcedure="false">110000</definedName>
    <definedName function="false" hidden="true" name="IQ_CQ" vbProcedure="false">5000</definedName>
    <definedName function="false" hidden="true" name="IQ_CY" vbProcedure="false">10000</definedName>
    <definedName function="false" hidden="true" name="IQ_DAILY" vbProcedure="false">500000</definedName>
    <definedName function="false" hidden="true" name="IQ_DNTM" vbProcedure="false">700000</definedName>
    <definedName function="false" hidden="true" name="IQ_FH" vbProcedure="false">100000</definedName>
    <definedName function="false" hidden="tru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tru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true" name="IQ_LTM" vbProcedure="false">2000</definedName>
    <definedName function="false" hidden="true" name="IQ_LTMMONTH" vbProcedure="false">120000</definedName>
    <definedName function="false" hidden="true" name="IQ_MONTH" vbProcedure="false">15000</definedName>
    <definedName function="false" hidden="true" name="IQ_MTD" vbProcedure="false">800000</definedName>
    <definedName function="false" hidden="true" name="IQ_NAMES_REVISION_DATE_" vbProcedure="false">41647.7127314815</definedName>
    <definedName function="false" hidden="tru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true" name="IQ_WEEK" vbProcedure="false">50000</definedName>
    <definedName function="false" hidden="true" name="IQ_YTD" vbProcedure="false">3000</definedName>
    <definedName function="false" hidden="true" name="IQ_YTDMONTH" vbProcedure="false">130000</definedName>
    <definedName function="false" hidden="true" localSheetId="11" name="IQRCOMPSE5" vbProcedure="false">'Relative Valuations'!$C$6</definedName>
  </definedNames>
  <calcPr iterateCount="100" refMode="A1" iterate="tru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<sst xmlns="http://schemas.openxmlformats.org/spreadsheetml/2006/main" count="727" uniqueCount="366">
  <si>
    <t xml:space="preserve">Big Books Company</t>
  </si>
  <si>
    <t xml:space="preserve">Income Statement</t>
  </si>
  <si>
    <t xml:space="preserve">Cash Flow Statement</t>
  </si>
  <si>
    <t xml:space="preserve">Actuals</t>
  </si>
  <si>
    <t xml:space="preserve">Forecast</t>
  </si>
  <si>
    <t xml:space="preserve">($ in Million Except Per Share Amounts)</t>
  </si>
  <si>
    <t xml:space="preserve">Historical 1</t>
  </si>
  <si>
    <t xml:space="preserve">Historical 2</t>
  </si>
  <si>
    <t xml:space="preserve">Historical 3</t>
  </si>
  <si>
    <t xml:space="preserve">Forecast 1</t>
  </si>
  <si>
    <t xml:space="preserve">Forecast 2</t>
  </si>
  <si>
    <t xml:space="preserve">Forecast 3</t>
  </si>
  <si>
    <t xml:space="preserve">Forecast 4</t>
  </si>
  <si>
    <t xml:space="preserve">Forecast 5</t>
  </si>
  <si>
    <t xml:space="preserve">Net Sales</t>
  </si>
  <si>
    <t xml:space="preserve">Operating Activities</t>
  </si>
  <si>
    <t xml:space="preserve">Cost of Sales</t>
  </si>
  <si>
    <t xml:space="preserve">Net Income</t>
  </si>
  <si>
    <t xml:space="preserve">Gross Profit</t>
  </si>
  <si>
    <t xml:space="preserve">Depreciation</t>
  </si>
  <si>
    <t xml:space="preserve">Amortization</t>
  </si>
  <si>
    <t xml:space="preserve">Selling, General &amp; Admin Costs</t>
  </si>
  <si>
    <t xml:space="preserve">Change in Working Capital</t>
  </si>
  <si>
    <t xml:space="preserve">EBITDA</t>
  </si>
  <si>
    <t xml:space="preserve">Change in Assets &amp; Liabilities (if any)</t>
  </si>
  <si>
    <t xml:space="preserve">Cash Flow from Operating Activities</t>
  </si>
  <si>
    <t xml:space="preserve">Investment Activities</t>
  </si>
  <si>
    <t xml:space="preserve">EBIT</t>
  </si>
  <si>
    <t xml:space="preserve">Purchase of Marketable Securities</t>
  </si>
  <si>
    <t xml:space="preserve">Purchase of Long Term Securities</t>
  </si>
  <si>
    <t xml:space="preserve">Interest Expense</t>
  </si>
  <si>
    <t xml:space="preserve">Capital Expenditures</t>
  </si>
  <si>
    <t xml:space="preserve">Interest Income</t>
  </si>
  <si>
    <t xml:space="preserve">Additions to Intangibles</t>
  </si>
  <si>
    <t xml:space="preserve">Pretax Income</t>
  </si>
  <si>
    <t xml:space="preserve">Cash Flow from Investing Activities</t>
  </si>
  <si>
    <t xml:space="preserve">Income Taxes</t>
  </si>
  <si>
    <t xml:space="preserve">Financing Activities</t>
  </si>
  <si>
    <t xml:space="preserve">Proceeds from/ (repayment of) Revolving Credit Facility</t>
  </si>
  <si>
    <t xml:space="preserve">Issuance of Long Term Debt</t>
  </si>
  <si>
    <t xml:space="preserve">(Repayment) of Long Term Debt</t>
  </si>
  <si>
    <t xml:space="preserve">Outstanding Shares</t>
  </si>
  <si>
    <t xml:space="preserve">Issuance/ (Repurchase of) Equity</t>
  </si>
  <si>
    <t xml:space="preserve">EPS</t>
  </si>
  <si>
    <t xml:space="preserve">Dividends</t>
  </si>
  <si>
    <t xml:space="preserve">Cash Flow from Financing Activities</t>
  </si>
  <si>
    <t xml:space="preserve">Balance Sheet</t>
  </si>
  <si>
    <t xml:space="preserve">Net Change in Cash</t>
  </si>
  <si>
    <t xml:space="preserve">Beginning Cash Balance</t>
  </si>
  <si>
    <t xml:space="preserve">Ending Cash Balance</t>
  </si>
  <si>
    <t xml:space="preserve">Current Assets</t>
  </si>
  <si>
    <t xml:space="preserve">Cash &amp; Cash Equivalents</t>
  </si>
  <si>
    <t xml:space="preserve">Marketable Securities</t>
  </si>
  <si>
    <t xml:space="preserve">  Receivables</t>
  </si>
  <si>
    <t xml:space="preserve">Inventory</t>
  </si>
  <si>
    <t xml:space="preserve">Other Current Assets</t>
  </si>
  <si>
    <t xml:space="preserve">Total Current Assets</t>
  </si>
  <si>
    <t xml:space="preserve">Long Term Securities</t>
  </si>
  <si>
    <t xml:space="preserve">Land </t>
  </si>
  <si>
    <t xml:space="preserve">Machinery and equipment</t>
  </si>
  <si>
    <t xml:space="preserve">Automobiles and trucks</t>
  </si>
  <si>
    <t xml:space="preserve">Gross PPE</t>
  </si>
  <si>
    <t xml:space="preserve">Accumulated Depreciation</t>
  </si>
  <si>
    <t xml:space="preserve">Net PPE</t>
  </si>
  <si>
    <t xml:space="preserve">Other Assets</t>
  </si>
  <si>
    <t xml:space="preserve">Intangibles, net</t>
  </si>
  <si>
    <t xml:space="preserve">Goodwill</t>
  </si>
  <si>
    <t xml:space="preserve">Total Assets</t>
  </si>
  <si>
    <t xml:space="preserve">Current Liabilities</t>
  </si>
  <si>
    <t xml:space="preserve">Accounts Payable</t>
  </si>
  <si>
    <t xml:space="preserve">Accrued Liabilities</t>
  </si>
  <si>
    <t xml:space="preserve">Other Current Liabilities</t>
  </si>
  <si>
    <t xml:space="preserve">Total Current Liabilities</t>
  </si>
  <si>
    <t xml:space="preserve">Loan Funds</t>
  </si>
  <si>
    <t xml:space="preserve">Revolving Credit Facility</t>
  </si>
  <si>
    <t xml:space="preserve">Long Term Debt</t>
  </si>
  <si>
    <t xml:space="preserve">Total Loan Funds</t>
  </si>
  <si>
    <t xml:space="preserve">Other Long Term Liabilities</t>
  </si>
  <si>
    <t xml:space="preserve">Post retirement Pension Cost</t>
  </si>
  <si>
    <t xml:space="preserve">Common Stock &amp; APIC</t>
  </si>
  <si>
    <t xml:space="preserve">Treasury Stock</t>
  </si>
  <si>
    <t xml:space="preserve">Retained Earnings</t>
  </si>
  <si>
    <t xml:space="preserve">Accumulated Other Comprehensive Income</t>
  </si>
  <si>
    <t xml:space="preserve">Shareholder's Equity</t>
  </si>
  <si>
    <t xml:space="preserve">Total Liabilities &amp; Equity</t>
  </si>
  <si>
    <t xml:space="preserve">Shares Oustanding (Million)</t>
  </si>
  <si>
    <t xml:space="preserve">Per Share Data</t>
  </si>
  <si>
    <t xml:space="preserve">Diluted EPS</t>
  </si>
  <si>
    <t xml:space="preserve">Cash per Share</t>
  </si>
  <si>
    <t xml:space="preserve">Book Value (BV)</t>
  </si>
  <si>
    <t xml:space="preserve">Dividends per Share (DPS)</t>
  </si>
  <si>
    <t xml:space="preserve">Effective Tax Rates (%)</t>
  </si>
  <si>
    <t xml:space="preserve">Valuation Ratios (x)</t>
  </si>
  <si>
    <t xml:space="preserve">EV / Revenue</t>
  </si>
  <si>
    <t xml:space="preserve">EV / EBITDA</t>
  </si>
  <si>
    <t xml:space="preserve">PE Ratio</t>
  </si>
  <si>
    <t xml:space="preserve">Revenue Split by Segment</t>
  </si>
  <si>
    <t xml:space="preserve">Notebook</t>
  </si>
  <si>
    <t xml:space="preserve">Writing Pads</t>
  </si>
  <si>
    <t xml:space="preserve">Premium Journal</t>
  </si>
  <si>
    <t xml:space="preserve">DCF Valuation</t>
  </si>
  <si>
    <t xml:space="preserve">WACC</t>
  </si>
  <si>
    <t xml:space="preserve">Growth Rates</t>
  </si>
  <si>
    <t xml:space="preserve">Cost of Equity</t>
  </si>
  <si>
    <t xml:space="preserve">Fair Valuation</t>
  </si>
  <si>
    <t xml:space="preserve">Target Price -</t>
  </si>
  <si>
    <t xml:space="preserve">BUY/ Hold / SELL?</t>
  </si>
  <si>
    <t xml:space="preserve">Effective Tax Rate</t>
  </si>
  <si>
    <t xml:space="preserve">Earnings Per Share</t>
  </si>
  <si>
    <t xml:space="preserve">Dividend Per Share</t>
  </si>
  <si>
    <t xml:space="preserve">Check</t>
  </si>
  <si>
    <t xml:space="preserve">Add Depreciation</t>
  </si>
  <si>
    <t xml:space="preserve">Add Amortization</t>
  </si>
  <si>
    <t xml:space="preserve">Change in Receivable</t>
  </si>
  <si>
    <t xml:space="preserve">change in Inventory</t>
  </si>
  <si>
    <t xml:space="preserve">Change in Other Current Assets</t>
  </si>
  <si>
    <t xml:space="preserve">Change in Accounts Payable</t>
  </si>
  <si>
    <t xml:space="preserve">Change in Accrued Liabilities</t>
  </si>
  <si>
    <t xml:space="preserve">Change in Other Current Liabilities</t>
  </si>
  <si>
    <t xml:space="preserve">Revenue and Cost Forecast</t>
  </si>
  <si>
    <t xml:space="preserve">Segment 1 - Notebook</t>
  </si>
  <si>
    <t xml:space="preserve">Notebook (Million Units)</t>
  </si>
  <si>
    <t xml:space="preserve">% Growth</t>
  </si>
  <si>
    <t xml:space="preserve">Notebook (Price per unit)</t>
  </si>
  <si>
    <t xml:space="preserve">% Growth </t>
  </si>
  <si>
    <t xml:space="preserve">Revenue Notebook ($ Million)</t>
  </si>
  <si>
    <t xml:space="preserve">Segment 2 - Writing Pads</t>
  </si>
  <si>
    <t xml:space="preserve">Writing Pads (Million Units)</t>
  </si>
  <si>
    <t xml:space="preserve">Writing Pads (Price per unit)</t>
  </si>
  <si>
    <t xml:space="preserve">Writing Pads ($ Million)</t>
  </si>
  <si>
    <t xml:space="preserve">Segment 3 - Premium Journals</t>
  </si>
  <si>
    <t xml:space="preserve">Premium Journal (Million Units)</t>
  </si>
  <si>
    <t xml:space="preserve">Premium Journal (Pricer per unit)</t>
  </si>
  <si>
    <t xml:space="preserve">Premium Journal ($ Million)</t>
  </si>
  <si>
    <t xml:space="preserve">Total Revenue ($ Million)</t>
  </si>
  <si>
    <t xml:space="preserve">Cost of Sales Forecast</t>
  </si>
  <si>
    <t xml:space="preserve">COGS</t>
  </si>
  <si>
    <t xml:space="preserve">Notebook </t>
  </si>
  <si>
    <t xml:space="preserve">Segmental Gross Margin (%)</t>
  </si>
  <si>
    <t xml:space="preserve">Writing Pads </t>
  </si>
  <si>
    <t xml:space="preserve">Premium Journals</t>
  </si>
  <si>
    <t xml:space="preserve">Total Cost of Sales</t>
  </si>
  <si>
    <t xml:space="preserve">SG&amp;A Expenses</t>
  </si>
  <si>
    <t xml:space="preserve">SG&amp;A  Expenses as a % of Notebook Sales</t>
  </si>
  <si>
    <t xml:space="preserve">SG&amp;A  Expenses as a % of Writing Pad Sales</t>
  </si>
  <si>
    <t xml:space="preserve">SG&amp;A  Expenses as a % of Premium Journal Sales</t>
  </si>
  <si>
    <t xml:space="preserve">SG&amp;A Expense</t>
  </si>
  <si>
    <t xml:space="preserve">Depreciation Capex Forecast</t>
  </si>
  <si>
    <t xml:space="preserve">Total</t>
  </si>
  <si>
    <t xml:space="preserve">Capital Expenditure by Segment</t>
  </si>
  <si>
    <t xml:space="preserve">Capital Expenditure as % Net Sales (By Segment)</t>
  </si>
  <si>
    <t xml:space="preserve">Calculating Depreciation</t>
  </si>
  <si>
    <t xml:space="preserve">Machinery &amp; Equipments</t>
  </si>
  <si>
    <t xml:space="preserve">Useful Life</t>
  </si>
  <si>
    <t xml:space="preserve">Years</t>
  </si>
  <si>
    <t xml:space="preserve">last year machineary</t>
  </si>
  <si>
    <t xml:space="preserve">Depreciation Expense (existing)</t>
  </si>
  <si>
    <t xml:space="preserve">Capex</t>
  </si>
  <si>
    <t xml:space="preserve">Total Depreciation (Machinery &amp; Equipments)</t>
  </si>
  <si>
    <t xml:space="preserve">Automobiles &amp; Trucks</t>
  </si>
  <si>
    <t xml:space="preserve">last year auto and transport</t>
  </si>
  <si>
    <t xml:space="preserve">Total Depreciation (Automobiles &amp; Trucks)</t>
  </si>
  <si>
    <t xml:space="preserve">Total Depreciation Expense</t>
  </si>
  <si>
    <t xml:space="preserve">Working Capital Forecast</t>
  </si>
  <si>
    <t xml:space="preserve">Working Capital Balances</t>
  </si>
  <si>
    <t xml:space="preserve">Receivable</t>
  </si>
  <si>
    <t xml:space="preserve">Total Non Cash Current Assets</t>
  </si>
  <si>
    <t xml:space="preserve">Total Non-Debt Current Liabilities</t>
  </si>
  <si>
    <t xml:space="preserve">Number of days assumption</t>
  </si>
  <si>
    <t xml:space="preserve">Turnover Ratios </t>
  </si>
  <si>
    <t xml:space="preserve">Receivables turnover (Net Sales / Receivables)</t>
  </si>
  <si>
    <t xml:space="preserve">Inventory turnover (Cost of Sales / Inventory)</t>
  </si>
  <si>
    <t xml:space="preserve">Accounts Payables turnover (Cost of Sales / Accounts Payable)</t>
  </si>
  <si>
    <t xml:space="preserve">Receivables collection period (365 / Receivables Turnover)</t>
  </si>
  <si>
    <t xml:space="preserve">Inventory processing period (365 / Inventory Turnover)</t>
  </si>
  <si>
    <t xml:space="preserve">Payment period (365 / Accounts Payable Turnover)</t>
  </si>
  <si>
    <t xml:space="preserve">Cash Collection Cycle</t>
  </si>
  <si>
    <t xml:space="preserve">Other Current Assets (% of Net Sales)</t>
  </si>
  <si>
    <t xml:space="preserve">Accrued Liabilities (% of Cost of Sales)</t>
  </si>
  <si>
    <t xml:space="preserve">Other Current Liabilities (% of Cost of Sales)</t>
  </si>
  <si>
    <t xml:space="preserve">Cash Flow from Individual line items</t>
  </si>
  <si>
    <t xml:space="preserve">Inventory </t>
  </si>
  <si>
    <t xml:space="preserve">Other Current Assets </t>
  </si>
  <si>
    <t xml:space="preserve">Accounts Payable </t>
  </si>
  <si>
    <t xml:space="preserve">Accrued Liabilities </t>
  </si>
  <si>
    <t xml:space="preserve">Other Current Liabilities </t>
  </si>
  <si>
    <t xml:space="preserve">(Incease)/ Decrease in Working Capital</t>
  </si>
  <si>
    <t xml:space="preserve">Amortization Forecast</t>
  </si>
  <si>
    <t xml:space="preserve">Additions to Intangibles as % of Net Sales</t>
  </si>
  <si>
    <t xml:space="preserve">Beginning Net Intangibles</t>
  </si>
  <si>
    <t xml:space="preserve">(Amortization Expense)</t>
  </si>
  <si>
    <t xml:space="preserve">Ending Net Intangibles</t>
  </si>
  <si>
    <t xml:space="preserve">From:</t>
  </si>
  <si>
    <t xml:space="preserve">Existing Intangibles</t>
  </si>
  <si>
    <t xml:space="preserve">Existing Net Intangibles, net</t>
  </si>
  <si>
    <t xml:space="preserve">Straight Line</t>
  </si>
  <si>
    <t xml:space="preserve">Intangibles</t>
  </si>
  <si>
    <t xml:space="preserve">Total Amortization Expense</t>
  </si>
  <si>
    <t xml:space="preserve">Shareholders Equity Forecast</t>
  </si>
  <si>
    <t xml:space="preserve">Dividend Assumptions</t>
  </si>
  <si>
    <t xml:space="preserve">Total Dividends Paid</t>
  </si>
  <si>
    <t xml:space="preserve">Dividend Payout Ratio</t>
  </si>
  <si>
    <t xml:space="preserve">Shareholders Equity</t>
  </si>
  <si>
    <t xml:space="preserve">?</t>
  </si>
  <si>
    <t xml:space="preserve">Stock Repurchases &amp; Issuances:</t>
  </si>
  <si>
    <t xml:space="preserve">Stock Repurchases ($)</t>
  </si>
  <si>
    <t xml:space="preserve">Shares Repurchased</t>
  </si>
  <si>
    <t xml:space="preserve">Share Price</t>
  </si>
  <si>
    <t xml:space="preserve">Repurchase PE Multiple</t>
  </si>
  <si>
    <t xml:space="preserve">`</t>
  </si>
  <si>
    <t xml:space="preserve">Debt Forecast</t>
  </si>
  <si>
    <t xml:space="preserve">Cash Flow from Operations</t>
  </si>
  <si>
    <t xml:space="preserve">Cash Flow From Investing Activities</t>
  </si>
  <si>
    <t xml:space="preserve">1. Total Cash Available (Before Equity &amp; Debt)</t>
  </si>
  <si>
    <t xml:space="preserve">Equity Items (Already Forecasted)</t>
  </si>
  <si>
    <t xml:space="preserve">Stock Repurchase</t>
  </si>
  <si>
    <t xml:space="preserve">2. Cash Flow Equity Items</t>
  </si>
  <si>
    <t xml:space="preserve">Ensure Cash is NOT Negative </t>
  </si>
  <si>
    <t xml:space="preserve">Beginning Cash</t>
  </si>
  <si>
    <t xml:space="preserve">Minimum Cash Balance</t>
  </si>
  <si>
    <t xml:space="preserve">3. Cash Available (Required)</t>
  </si>
  <si>
    <t xml:space="preserve">Net Cash Available for Debt Payments (1+2+3)</t>
  </si>
  <si>
    <t xml:space="preserve">Long Term Debt Payments (committed)</t>
  </si>
  <si>
    <t xml:space="preserve">Net Cash Left for Revolving Credit </t>
  </si>
  <si>
    <t xml:space="preserve">Beginning Balance</t>
  </si>
  <si>
    <t xml:space="preserve">Discretionary (Paydown)/ Borrowings</t>
  </si>
  <si>
    <t xml:space="preserve">Ending Balance</t>
  </si>
  <si>
    <t xml:space="preserve">Issuance</t>
  </si>
  <si>
    <t xml:space="preserve">(Repayment/ Amortization)</t>
  </si>
  <si>
    <t xml:space="preserve">Forecasting Interest Expense</t>
  </si>
  <si>
    <t xml:space="preserve">1. Revolving Credit Facility</t>
  </si>
  <si>
    <t xml:space="preserve">Average Revolving Credit Facility Outstanding</t>
  </si>
  <si>
    <t xml:space="preserve">Interest Rate</t>
  </si>
  <si>
    <t xml:space="preserve">2. Long Term Debt</t>
  </si>
  <si>
    <t xml:space="preserve">Average Long Term Debt Oustanding</t>
  </si>
  <si>
    <t xml:space="preserve">Total Interest Expense (1+2)</t>
  </si>
  <si>
    <t xml:space="preserve">Forecasting Interest Income</t>
  </si>
  <si>
    <t xml:space="preserve">1. Cash &amp; Cash Equivalents</t>
  </si>
  <si>
    <t xml:space="preserve">2. Marketable Securities</t>
  </si>
  <si>
    <t xml:space="preserve">3. Long Term Securities</t>
  </si>
  <si>
    <t xml:space="preserve">Effective Interest Rate</t>
  </si>
  <si>
    <t xml:space="preserve">Other Assets and Liablities</t>
  </si>
  <si>
    <t xml:space="preserve">Relative Valuations</t>
  </si>
  <si>
    <t xml:space="preserve">Multiples</t>
  </si>
  <si>
    <t xml:space="preserve">EV/Revenue</t>
  </si>
  <si>
    <t xml:space="preserve">EV/EBITDA</t>
  </si>
  <si>
    <t xml:space="preserve">Price / Earnings (P/E)</t>
  </si>
  <si>
    <t xml:space="preserve">Company</t>
  </si>
  <si>
    <t xml:space="preserve">Ticker</t>
  </si>
  <si>
    <t xml:space="preserve">Price</t>
  </si>
  <si>
    <t xml:space="preserve">MarketCap</t>
  </si>
  <si>
    <t xml:space="preserve">EV</t>
  </si>
  <si>
    <t xml:space="preserve">Athen Books</t>
  </si>
  <si>
    <t xml:space="preserve">ABS</t>
  </si>
  <si>
    <t xml:space="preserve">Bazaar Books</t>
  </si>
  <si>
    <t xml:space="preserve">BZS</t>
  </si>
  <si>
    <t xml:space="preserve">Focus Books</t>
  </si>
  <si>
    <t xml:space="preserve">FBS</t>
  </si>
  <si>
    <t xml:space="preserve">BroadSoft Publishing</t>
  </si>
  <si>
    <t xml:space="preserve">BPS</t>
  </si>
  <si>
    <t xml:space="preserve">Concur Publishing</t>
  </si>
  <si>
    <t xml:space="preserve">CPS</t>
  </si>
  <si>
    <t xml:space="preserve">Contact Books</t>
  </si>
  <si>
    <t xml:space="preserve">CBS</t>
  </si>
  <si>
    <t xml:space="preserve">OnDemand books</t>
  </si>
  <si>
    <t xml:space="preserve">ODB</t>
  </si>
  <si>
    <t xml:space="preserve">Pocket  Books</t>
  </si>
  <si>
    <t xml:space="preserve">PBS</t>
  </si>
  <si>
    <t xml:space="preserve">Open Publishing</t>
  </si>
  <si>
    <t xml:space="preserve">OPS</t>
  </si>
  <si>
    <t xml:space="preserve">Group Publishing House</t>
  </si>
  <si>
    <t xml:space="preserve">GPH</t>
  </si>
  <si>
    <t xml:space="preserve">Median</t>
  </si>
  <si>
    <t xml:space="preserve">Mean</t>
  </si>
  <si>
    <t xml:space="preserve">Low</t>
  </si>
  <si>
    <t xml:space="preserve">High</t>
  </si>
  <si>
    <t xml:space="preserve">EV to Revenue</t>
  </si>
  <si>
    <t xml:space="preserve">Big Books Valuations</t>
  </si>
  <si>
    <t xml:space="preserve">Current Year</t>
  </si>
  <si>
    <t xml:space="preserve">Histroical 3</t>
  </si>
  <si>
    <t xml:space="preserve">Industry EV/Revenue </t>
  </si>
  <si>
    <t xml:space="preserve">Big Books Revenue</t>
  </si>
  <si>
    <t xml:space="preserve">Debt</t>
  </si>
  <si>
    <t xml:space="preserve">Equity Value</t>
  </si>
  <si>
    <t xml:space="preserve">NO of O/S Shares</t>
  </si>
  <si>
    <t xml:space="preserve">Price Per Share</t>
  </si>
  <si>
    <t xml:space="preserve">EV to EBITDA</t>
  </si>
  <si>
    <t xml:space="preserve">Industry  EV/EBITDA </t>
  </si>
  <si>
    <t xml:space="preserve">Big Books EBITDA</t>
  </si>
  <si>
    <t xml:space="preserve">Price to Earnings Ratio</t>
  </si>
  <si>
    <t xml:space="preserve">Industry PE Ratio</t>
  </si>
  <si>
    <t xml:space="preserve">Big Books EPS</t>
  </si>
  <si>
    <t xml:space="preserve">DCF Valuations</t>
  </si>
  <si>
    <t xml:space="preserve">Historial 1</t>
  </si>
  <si>
    <t xml:space="preserve">Historial 2</t>
  </si>
  <si>
    <t xml:space="preserve">Historial 3</t>
  </si>
  <si>
    <t xml:space="preserve">Free Cash Flow to Firm</t>
  </si>
  <si>
    <t xml:space="preserve">EBIT x (1-t)</t>
  </si>
  <si>
    <t xml:space="preserve">Add: Depreciation </t>
  </si>
  <si>
    <t xml:space="preserve">Less: Capex</t>
  </si>
  <si>
    <t xml:space="preserve">Less: Addition to Intangibles</t>
  </si>
  <si>
    <t xml:space="preserve">Add: Change in working capital</t>
  </si>
  <si>
    <t xml:space="preserve">FCFF</t>
  </si>
  <si>
    <t xml:space="preserve">WACC (Weighted Average Cost of Capital)</t>
  </si>
  <si>
    <t xml:space="preserve">Infinite growth rate</t>
  </si>
  <si>
    <t xml:space="preserve">Free Cash Flow to Firm of Explicit Period</t>
  </si>
  <si>
    <t xml:space="preserve">(Year 1 to Year 5)</t>
  </si>
  <si>
    <t xml:space="preserve">Cash Flows</t>
  </si>
  <si>
    <t xml:space="preserve">NPV of explicit period</t>
  </si>
  <si>
    <t xml:space="preserve">Terminal value </t>
  </si>
  <si>
    <t xml:space="preserve">Terminal value (at the end of 5th year)</t>
  </si>
  <si>
    <t xml:space="preserve">NPV of terminal value</t>
  </si>
  <si>
    <t xml:space="preserve">DCF calculation as of</t>
  </si>
  <si>
    <t xml:space="preserve">Historical data</t>
  </si>
  <si>
    <t xml:space="preserve">End of the Year Target Price</t>
  </si>
  <si>
    <t xml:space="preserve">Enterprise Value</t>
  </si>
  <si>
    <t xml:space="preserve">+ Cash</t>
  </si>
  <si>
    <t xml:space="preserve">- Debt</t>
  </si>
  <si>
    <t xml:space="preserve">Equity value</t>
  </si>
  <si>
    <t xml:space="preserve">+ Marketable Securities / Long Term Securities</t>
  </si>
  <si>
    <t xml:space="preserve">Adjusted Equity Value</t>
  </si>
  <si>
    <t xml:space="preserve">Number of Shares</t>
  </si>
  <si>
    <t xml:space="preserve">Sensitivity Analysis</t>
  </si>
  <si>
    <t xml:space="preserve">growth</t>
  </si>
  <si>
    <t xml:space="preserve">Cost of Capital Calculations</t>
  </si>
  <si>
    <t xml:space="preserve">E = Market Value of Equity</t>
  </si>
  <si>
    <t xml:space="preserve">V = Total market value of equity &amp; debt</t>
  </si>
  <si>
    <t xml:space="preserve">Ke = Cost of Equity</t>
  </si>
  <si>
    <t xml:space="preserve">D = Market Value of Debt</t>
  </si>
  <si>
    <t xml:space="preserve">Kd = Cost of Debt</t>
  </si>
  <si>
    <t xml:space="preserve">Tax Rate = Corporate Tax Rate</t>
  </si>
  <si>
    <t xml:space="preserve">Step 1 - Find the Cost of Equity using CAPM Model</t>
  </si>
  <si>
    <t xml:space="preserve">Cost of Equity = Risk-Free Rate of Return + Beta * (Market Rate of Return – Risk-free Rate of Return)</t>
  </si>
  <si>
    <t xml:space="preserve">Risk-Free Rate of Return</t>
  </si>
  <si>
    <t xml:space="preserve">Visit - https://www.bankrate.com/rates/interest-rates/10-year-treasury-bill.aspx</t>
  </si>
  <si>
    <t xml:space="preserve">Take the rate of return mentioned in the table</t>
  </si>
  <si>
    <t xml:space="preserve">Risk-Free Rate of Return </t>
  </si>
  <si>
    <t xml:space="preserve">Risk Premium (Market Rate of Return - Risk Free Rate of Return)</t>
  </si>
  <si>
    <t xml:space="preserve">Visit - http://pages.stern.nyu.edu/~adamodar/New_Home_Page/datafile/ctryprem.html</t>
  </si>
  <si>
    <t xml:space="preserve">take the Risk Premium of United States</t>
  </si>
  <si>
    <t xml:space="preserve">WACC of ABC company</t>
  </si>
  <si>
    <t xml:space="preserve">Equity</t>
  </si>
  <si>
    <t xml:space="preserve">Risk Free rate</t>
  </si>
  <si>
    <t xml:space="preserve">Total </t>
  </si>
  <si>
    <t xml:space="preserve">Market risk premium</t>
  </si>
  <si>
    <t xml:space="preserve">Levered beta of ABC</t>
  </si>
  <si>
    <t xml:space="preserve">Cost of equity</t>
  </si>
  <si>
    <t xml:space="preserve">% Equity - Equity / (Debt + Equity)</t>
  </si>
  <si>
    <t xml:space="preserve">Pre-tax cost of debt</t>
  </si>
  <si>
    <t xml:space="preserve">% Debt - Debt/ (Debt + Equity)</t>
  </si>
  <si>
    <t xml:space="preserve">Tax rate</t>
  </si>
  <si>
    <t xml:space="preserve">After tax cost of debt</t>
  </si>
  <si>
    <t xml:space="preserve">Average Debt</t>
  </si>
  <si>
    <t xml:space="preserve">Interest expense</t>
  </si>
  <si>
    <t xml:space="preserve">Pre-tax Cost of Debt</t>
  </si>
  <si>
    <t xml:space="preserve">S&amp;P Index</t>
  </si>
  <si>
    <t xml:space="preserve">% change in S&amp;P Index</t>
  </si>
  <si>
    <t xml:space="preserve">Big Books</t>
  </si>
  <si>
    <t xml:space="preserve">% change in Big Books</t>
  </si>
  <si>
    <t xml:space="preserve">Date</t>
  </si>
  <si>
    <t xml:space="preserve">Adj Close</t>
  </si>
  <si>
    <t xml:space="preserve">SLOPE Method</t>
  </si>
  <si>
    <t xml:space="preserve">covariance(x,y)</t>
  </si>
  <si>
    <t xml:space="preserve">variance(x)</t>
  </si>
  <si>
    <t xml:space="preserve">B</t>
  </si>
  <si>
    <t xml:space="preserve">BUY</t>
  </si>
</sst>
</file>

<file path=xl/styles.xml><?xml version="1.0" encoding="utf-8"?>
<styleSheet xmlns="http://schemas.openxmlformats.org/spreadsheetml/2006/main">
  <numFmts count="31">
    <numFmt numFmtId="164" formatCode="General"/>
    <numFmt numFmtId="165" formatCode="_(* #,##0.00_);_(* \(#,##0.00\);_(* \-??_);_(@_)"/>
    <numFmt numFmtId="166" formatCode="_-* #,##0_-;\-* #,##0_-;_-* \-??_-;_-@_-"/>
    <numFmt numFmtId="167" formatCode="0%"/>
    <numFmt numFmtId="168" formatCode="_(* #,##0_);_(* \(#,##0\);_(* \-_);_(@_)"/>
    <numFmt numFmtId="169" formatCode="\$#,##0.0_);&quot;($&quot;#,##0.0\)"/>
    <numFmt numFmtId="170" formatCode="#,##0.0_);\(#,##0.0\)"/>
    <numFmt numFmtId="171" formatCode="_(* #,##0.0_);_(* \(#,##0.0\);_(* \-??_);_(@_)"/>
    <numFmt numFmtId="172" formatCode="\$#,##0.00"/>
    <numFmt numFmtId="173" formatCode="\$#,##0.00_);&quot;($&quot;#,##0.00\)"/>
    <numFmt numFmtId="174" formatCode="\$#,##0.0"/>
    <numFmt numFmtId="175" formatCode="_(* #,##0.0_);_(* \(#,##0.0\);_(* \-_);_(@_)"/>
    <numFmt numFmtId="176" formatCode="0.0"/>
    <numFmt numFmtId="177" formatCode="0.0\x"/>
    <numFmt numFmtId="178" formatCode="0.0%"/>
    <numFmt numFmtId="179" formatCode="0.00%"/>
    <numFmt numFmtId="180" formatCode="0.00"/>
    <numFmt numFmtId="181" formatCode="_(* #,##0.0_);_(* \(#,##0.0\);_(* \-?_);_(@_)"/>
    <numFmt numFmtId="182" formatCode="_ * #,##0.00_ ;_ * \-#,##0.00_ ;_ * \-??_ ;_ @_ "/>
    <numFmt numFmtId="183" formatCode="_(* #,##0_);_(* \(#,##0\);_(* \-??_);_(@_)"/>
    <numFmt numFmtId="184" formatCode="General"/>
    <numFmt numFmtId="185" formatCode="\$#,##0_);&quot;($&quot;#,##0\)"/>
    <numFmt numFmtId="186" formatCode="\$#,##0_);[RED]&quot;($&quot;#,##0\)"/>
    <numFmt numFmtId="187" formatCode="#,##0.0\x"/>
    <numFmt numFmtId="188" formatCode="#,##0"/>
    <numFmt numFmtId="189" formatCode="\$#,##0.00_);[RED]&quot;($&quot;#,##0.00\)"/>
    <numFmt numFmtId="190" formatCode="m/d/yyyy"/>
    <numFmt numFmtId="191" formatCode="0.0000"/>
    <numFmt numFmtId="192" formatCode="_(* #,##0.0000_);_(* \(#,##0.0000\);_(* \-??_);_(@_)"/>
    <numFmt numFmtId="193" formatCode="_(* #,##0.00000_);_(* \(#,##0.00000\);_(* \-??_);_(@_)"/>
    <numFmt numFmtId="194" formatCode="0.00000"/>
  </numFmts>
  <fonts count="6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color rgb="FF000000"/>
      <name val="Verdana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b val="true"/>
      <sz val="14"/>
      <color rgb="FFFFFFFF"/>
      <name val="Cambria"/>
      <family val="0"/>
      <charset val="1"/>
    </font>
    <font>
      <b val="true"/>
      <sz val="12"/>
      <color rgb="FF7D2E68"/>
      <name val="Cambria"/>
      <family val="0"/>
      <charset val="1"/>
    </font>
    <font>
      <sz val="10"/>
      <color rgb="FF000080"/>
      <name val="Arial"/>
      <family val="2"/>
      <charset val="1"/>
    </font>
    <font>
      <b val="true"/>
      <sz val="10"/>
      <color theme="0"/>
      <name val="Arial"/>
      <family val="2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7A1F2B"/>
      <name val="Cambria"/>
      <family val="0"/>
      <charset val="1"/>
    </font>
    <font>
      <b val="true"/>
      <sz val="11"/>
      <color rgb="FF0E8C6B"/>
      <name val="Cambria"/>
      <family val="0"/>
      <charset val="1"/>
    </font>
    <font>
      <u val="single"/>
      <sz val="10"/>
      <name val="Arial"/>
      <family val="2"/>
      <charset val="1"/>
    </font>
    <font>
      <sz val="10"/>
      <color rgb="FF00B0F0"/>
      <name val="Arial"/>
      <family val="2"/>
      <charset val="1"/>
    </font>
    <font>
      <sz val="10"/>
      <color rgb="FF008000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sz val="10"/>
      <color rgb="FF00B050"/>
      <name val="Arial"/>
      <family val="2"/>
      <charset val="1"/>
    </font>
    <font>
      <b val="true"/>
      <u val="single"/>
      <sz val="10"/>
      <color theme="0"/>
      <name val="Arial"/>
      <family val="2"/>
      <charset val="1"/>
    </font>
    <font>
      <b val="true"/>
      <sz val="10"/>
      <color rgb="FF008000"/>
      <name val="Arial"/>
      <family val="2"/>
      <charset val="1"/>
    </font>
    <font>
      <sz val="10"/>
      <color rgb="FF333399"/>
      <name val="Arial"/>
      <family val="2"/>
      <charset val="1"/>
    </font>
    <font>
      <b val="true"/>
      <u val="single"/>
      <sz val="10"/>
      <color theme="1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80"/>
      <name val="Arial"/>
      <family val="2"/>
      <charset val="1"/>
    </font>
    <font>
      <sz val="10"/>
      <color rgb="FF0070C0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u val="single"/>
      <sz val="10"/>
      <color rgb="FF00B0F0"/>
      <name val="Arial"/>
      <family val="2"/>
      <charset val="1"/>
    </font>
    <font>
      <b val="true"/>
      <sz val="12"/>
      <color rgb="FF1F4E8C"/>
      <name val="Cambria"/>
      <family val="0"/>
      <charset val="1"/>
    </font>
    <font>
      <b val="true"/>
      <sz val="12"/>
      <color rgb="FF5B2C83"/>
      <name val="Cambria"/>
      <family val="0"/>
      <charset val="1"/>
    </font>
    <font>
      <i val="true"/>
      <sz val="10"/>
      <color rgb="FFFF0000"/>
      <name val="Arial"/>
      <family val="2"/>
      <charset val="1"/>
    </font>
    <font>
      <sz val="10"/>
      <color rgb="FFFF0000"/>
      <name val="Arial"/>
      <family val="2"/>
      <charset val="1"/>
    </font>
    <font>
      <b val="true"/>
      <sz val="12"/>
      <color rgb="FF117864"/>
      <name val="Cambria"/>
      <family val="0"/>
      <charset val="1"/>
    </font>
    <font>
      <b val="true"/>
      <u val="single"/>
      <sz val="10"/>
      <name val="Arial"/>
      <family val="2"/>
      <charset val="1"/>
    </font>
    <font>
      <i val="true"/>
      <sz val="10"/>
      <color theme="1"/>
      <name val="Arial"/>
      <family val="2"/>
      <charset val="1"/>
    </font>
    <font>
      <b val="true"/>
      <sz val="12"/>
      <color rgb="FFB9500D"/>
      <name val="Cambria"/>
      <family val="0"/>
      <charset val="1"/>
    </font>
    <font>
      <b val="true"/>
      <sz val="10"/>
      <color rgb="FFFFFFFF"/>
      <name val="Arial"/>
      <family val="2"/>
      <charset val="1"/>
    </font>
    <font>
      <i val="true"/>
      <sz val="10"/>
      <name val="Arial"/>
      <family val="2"/>
      <charset val="1"/>
    </font>
    <font>
      <i val="true"/>
      <sz val="10"/>
      <color rgb="FF0070C0"/>
      <name val="Arial"/>
      <family val="2"/>
      <charset val="1"/>
    </font>
    <font>
      <b val="true"/>
      <sz val="10"/>
      <color rgb="FFFF0000"/>
      <name val="Arial"/>
      <family val="2"/>
      <charset val="1"/>
    </font>
    <font>
      <b val="true"/>
      <sz val="12"/>
      <color rgb="FF7A4A21"/>
      <name val="Cambria"/>
      <family val="0"/>
      <charset val="1"/>
    </font>
    <font>
      <b val="true"/>
      <sz val="10"/>
      <color rgb="FF00B0F0"/>
      <name val="Arial"/>
      <family val="2"/>
      <charset val="1"/>
    </font>
    <font>
      <b val="true"/>
      <sz val="12"/>
      <color rgb="FF0E7C86"/>
      <name val="Cambria"/>
      <family val="0"/>
      <charset val="1"/>
    </font>
    <font>
      <b val="true"/>
      <sz val="12"/>
      <color rgb="FFA3195B"/>
      <name val="Cambria"/>
      <family val="0"/>
      <charset val="1"/>
    </font>
    <font>
      <sz val="10"/>
      <color rgb="FF0000FF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theme="1"/>
      <name val="Arial"/>
      <family val="2"/>
      <charset val="1"/>
    </font>
    <font>
      <sz val="11"/>
      <color rgb="FF339966"/>
      <name val="Arial"/>
      <family val="2"/>
      <charset val="1"/>
    </font>
    <font>
      <b val="true"/>
      <sz val="12"/>
      <color rgb="FF1E6E45"/>
      <name val="Cambria"/>
      <family val="0"/>
      <charset val="1"/>
    </font>
    <font>
      <b val="true"/>
      <sz val="12"/>
      <color rgb="FFA32020"/>
      <name val="Cambria"/>
      <family val="0"/>
      <charset val="1"/>
    </font>
    <font>
      <b val="true"/>
      <sz val="12"/>
      <color rgb="FF374B5C"/>
      <name val="Cambria"/>
      <family val="0"/>
      <charset val="1"/>
    </font>
    <font>
      <b val="true"/>
      <sz val="12"/>
      <color rgb="FFB36B00"/>
      <name val="Cambria"/>
      <family val="0"/>
      <charset val="1"/>
    </font>
    <font>
      <b val="true"/>
      <sz val="11"/>
      <color rgb="FF7A4A00"/>
      <name val="Cambria"/>
      <family val="0"/>
      <charset val="1"/>
    </font>
    <font>
      <b val="true"/>
      <sz val="12"/>
      <color rgb="FF0B4A2C"/>
      <name val="Cambria"/>
      <family val="0"/>
      <charset val="1"/>
    </font>
    <font>
      <sz val="10"/>
      <color theme="0"/>
      <name val="Arial"/>
      <family val="2"/>
      <charset val="1"/>
    </font>
    <font>
      <b val="true"/>
      <sz val="12"/>
      <color rgb="FF1B2A4E"/>
      <name val="Cambria"/>
      <family val="0"/>
      <charset val="1"/>
    </font>
    <font>
      <u val="single"/>
      <sz val="10"/>
      <color theme="1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1"/>
      <color rgb="FF1B2A4E"/>
      <name val="Cambria"/>
      <family val="0"/>
      <charset val="1"/>
    </font>
    <font>
      <sz val="11"/>
      <color theme="0"/>
      <name val="Calibri"/>
      <family val="2"/>
      <charset val="1"/>
    </font>
  </fonts>
  <fills count="49">
    <fill>
      <patternFill patternType="none"/>
    </fill>
    <fill>
      <patternFill patternType="gray125"/>
    </fill>
    <fill>
      <patternFill patternType="solid">
        <fgColor rgb="FF7D2E68"/>
        <bgColor rgb="FF7A1F2B"/>
      </patternFill>
    </fill>
    <fill>
      <patternFill patternType="solid">
        <fgColor rgb="FFE5D5E0"/>
        <bgColor rgb="FFDED4E6"/>
      </patternFill>
    </fill>
    <fill>
      <patternFill patternType="solid">
        <fgColor rgb="FF00B0F0"/>
        <bgColor rgb="FF2FBF9F"/>
      </patternFill>
    </fill>
    <fill>
      <patternFill patternType="solid">
        <fgColor rgb="FF2456A6"/>
        <bgColor rgb="FF1F4E8C"/>
      </patternFill>
    </fill>
    <fill>
      <patternFill patternType="solid">
        <fgColor rgb="FFF2622E"/>
        <bgColor rgb="FFB9500D"/>
      </patternFill>
    </fill>
    <fill>
      <patternFill patternType="solid">
        <fgColor rgb="FFFFD966"/>
        <bgColor rgb="FFF1DCCE"/>
      </patternFill>
    </fill>
    <fill>
      <patternFill patternType="solid">
        <fgColor rgb="FFFDEEE3"/>
        <bgColor rgb="FFF7EBEC"/>
      </patternFill>
    </fill>
    <fill>
      <patternFill patternType="solid">
        <fgColor theme="0" tint="-0.15"/>
        <bgColor rgb="FFDBDBDB"/>
      </patternFill>
    </fill>
    <fill>
      <patternFill patternType="solid">
        <fgColor rgb="FFEAF1FB"/>
        <bgColor rgb="FFF7EBEC"/>
      </patternFill>
    </fill>
    <fill>
      <patternFill patternType="solid">
        <fgColor rgb="FFFFFFFF"/>
        <bgColor rgb="FFEAF1FB"/>
      </patternFill>
    </fill>
    <fill>
      <patternFill patternType="solid">
        <fgColor rgb="FF2FBF9F"/>
        <bgColor rgb="FF00B0F0"/>
      </patternFill>
    </fill>
    <fill>
      <patternFill patternType="solid">
        <fgColor rgb="FFFFFF00"/>
        <bgColor rgb="FFFFD966"/>
      </patternFill>
    </fill>
    <fill>
      <patternFill patternType="solid">
        <fgColor rgb="FF1F4E8C"/>
        <bgColor rgb="FF2456A6"/>
      </patternFill>
    </fill>
    <fill>
      <patternFill patternType="solid">
        <fgColor rgb="FFD2DBE8"/>
        <bgColor rgb="FFD7DBDE"/>
      </patternFill>
    </fill>
    <fill>
      <patternFill patternType="darkGray">
        <fgColor rgb="FF522C86"/>
        <bgColor rgb="FF7D2E68"/>
      </patternFill>
    </fill>
    <fill>
      <patternFill patternType="solid">
        <fgColor rgb="FFDED4E6"/>
        <bgColor rgb="FFE5D5E0"/>
      </patternFill>
    </fill>
    <fill>
      <patternFill patternType="solid">
        <fgColor theme="0" tint="-0.5"/>
        <bgColor rgb="FFAFABAB"/>
      </patternFill>
    </fill>
    <fill>
      <patternFill patternType="solid">
        <fgColor rgb="FF117864"/>
        <bgColor rgb="FF0E7C86"/>
      </patternFill>
    </fill>
    <fill>
      <patternFill patternType="solid">
        <fgColor rgb="FFCFE4E0"/>
        <bgColor rgb="FFCEE4E6"/>
      </patternFill>
    </fill>
    <fill>
      <patternFill patternType="solid">
        <fgColor rgb="FFB9500D"/>
        <bgColor rgb="FFB36B00"/>
      </patternFill>
    </fill>
    <fill>
      <patternFill patternType="solid">
        <fgColor rgb="FFF1DCCE"/>
        <bgColor rgb="FFEFE1CC"/>
      </patternFill>
    </fill>
    <fill>
      <patternFill patternType="solid">
        <fgColor rgb="FF7A4A21"/>
        <bgColor rgb="FF7A4A00"/>
      </patternFill>
    </fill>
    <fill>
      <patternFill patternType="solid">
        <fgColor rgb="FFE4DAD2"/>
        <bgColor rgb="FFDBDBDB"/>
      </patternFill>
    </fill>
    <fill>
      <patternFill patternType="solid">
        <fgColor rgb="FF0E7C86"/>
        <bgColor rgb="FF117864"/>
      </patternFill>
    </fill>
    <fill>
      <patternFill patternType="solid">
        <fgColor rgb="FFCEE4E6"/>
        <bgColor rgb="FFCFE4E0"/>
      </patternFill>
    </fill>
    <fill>
      <patternFill patternType="solid">
        <fgColor rgb="FFA3195B"/>
        <bgColor rgb="FFA32020"/>
      </patternFill>
    </fill>
    <fill>
      <patternFill patternType="solid">
        <fgColor rgb="FFECD1DE"/>
        <bgColor rgb="FFECD2D2"/>
      </patternFill>
    </fill>
    <fill>
      <patternFill patternType="solid">
        <fgColor rgb="FFC0C0C0"/>
        <bgColor rgb="FFBFBFBF"/>
      </patternFill>
    </fill>
    <fill>
      <patternFill patternType="solid">
        <fgColor theme="2" tint="-0.25"/>
        <bgColor rgb="FFBFBFBF"/>
      </patternFill>
    </fill>
    <fill>
      <patternFill patternType="solid">
        <fgColor rgb="FF1E6E45"/>
        <bgColor rgb="FF117864"/>
      </patternFill>
    </fill>
    <fill>
      <patternFill patternType="solid">
        <fgColor rgb="FFD2E2D9"/>
        <bgColor rgb="FFCFE4E0"/>
      </patternFill>
    </fill>
    <fill>
      <patternFill patternType="solid">
        <fgColor rgb="FFA32020"/>
        <bgColor rgb="FFA3195B"/>
      </patternFill>
    </fill>
    <fill>
      <patternFill patternType="solid">
        <fgColor rgb="FFECD2D2"/>
        <bgColor rgb="FFECD1DE"/>
      </patternFill>
    </fill>
    <fill>
      <patternFill patternType="solid">
        <fgColor theme="0" tint="-0.25"/>
        <bgColor rgb="FFC0C0C0"/>
      </patternFill>
    </fill>
    <fill>
      <patternFill patternType="solid">
        <fgColor rgb="FF374B5C"/>
        <bgColor rgb="FF535353"/>
      </patternFill>
    </fill>
    <fill>
      <patternFill patternType="solid">
        <fgColor rgb="FFD7DBDE"/>
        <bgColor rgb="FFDBDBDB"/>
      </patternFill>
    </fill>
    <fill>
      <patternFill patternType="solid">
        <fgColor rgb="FFB36B00"/>
        <bgColor rgb="FFB9500D"/>
      </patternFill>
    </fill>
    <fill>
      <patternFill patternType="solid">
        <fgColor rgb="FFEFE1CC"/>
        <bgColor rgb="FFF1DCCE"/>
      </patternFill>
    </fill>
    <fill>
      <patternFill patternType="solid">
        <fgColor rgb="FFFCE9CC"/>
        <bgColor rgb="FFFDEEE3"/>
      </patternFill>
    </fill>
    <fill>
      <patternFill patternType="solid">
        <fgColor theme="6" tint="0.5999"/>
        <bgColor rgb="FFD9D9D9"/>
      </patternFill>
    </fill>
    <fill>
      <patternFill patternType="solid">
        <fgColor rgb="FF0B4A2C"/>
        <bgColor rgb="FF1B2A4E"/>
      </patternFill>
    </fill>
    <fill>
      <patternFill patternType="solid">
        <fgColor rgb="FFCEDAD4"/>
        <bgColor rgb="FFD1D4DB"/>
      </patternFill>
    </fill>
    <fill>
      <patternFill patternType="solid">
        <fgColor theme="6" tint="-0.5"/>
        <bgColor rgb="FF374B5C"/>
      </patternFill>
    </fill>
    <fill>
      <patternFill patternType="solid">
        <fgColor rgb="FF1B2A4E"/>
        <bgColor rgb="FF0B4A2C"/>
      </patternFill>
    </fill>
    <fill>
      <patternFill patternType="solid">
        <fgColor rgb="FFD1D4DB"/>
        <bgColor rgb="FFCEDAD4"/>
      </patternFill>
    </fill>
    <fill>
      <patternFill patternType="solid">
        <fgColor rgb="FF6E1423"/>
        <bgColor rgb="FF7A1F2B"/>
      </patternFill>
    </fill>
    <fill>
      <patternFill patternType="solid">
        <fgColor rgb="FFF7EBEC"/>
        <bgColor rgb="FFFDEEE3"/>
      </patternFill>
    </fill>
  </fills>
  <borders count="26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 style="thin"/>
      <top style="thin"/>
      <bottom style="double"/>
      <diagonal/>
    </border>
    <border diagonalUp="false" diagonalDown="false">
      <left/>
      <right/>
      <top style="double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double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/>
      <top/>
      <bottom style="medium"/>
      <diagonal/>
    </border>
  </borders>
  <cellStyleXfs count="27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9" fillId="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0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5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2" fillId="6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2" fillId="2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8" fontId="12" fillId="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5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8" fontId="12" fillId="5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8" fontId="12" fillId="6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8" fontId="12" fillId="2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8" fontId="12" fillId="2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9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0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1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0" fontId="7" fillId="1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9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8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7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72" fontId="18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1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18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20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2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9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2" fillId="5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21" fillId="4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8" fontId="12" fillId="6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4" fontId="7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2" fillId="1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8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8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8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8" fontId="18" fillId="0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4" fontId="23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4" fontId="23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4" fontId="1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5" fontId="13" fillId="7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14" fillId="8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5" fillId="1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5" fillId="10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5" fillId="8" borderId="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5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5" fontId="25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4" fillId="1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5" fontId="4" fillId="1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5" fillId="8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4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68" fontId="10" fillId="0" borderId="1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4" fontId="10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7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3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4" fillId="8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18" fillId="0" borderId="1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25" fillId="1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5" fillId="8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25" fillId="8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3" fillId="7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1" fontId="14" fillId="8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8" fontId="25" fillId="0" borderId="14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5" fontId="14" fillId="8" borderId="1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14" fillId="8" borderId="1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4" fontId="13" fillId="7" borderId="2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4" fontId="14" fillId="8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0" xfId="0" applyFont="true" applyBorder="false" applyAlignment="true" applyProtection="false">
      <alignment horizontal="left" vertical="bottom" textRotation="0" wrapText="false" indent="2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true">
      <alignment horizontal="left" vertical="center" textRotation="0" wrapText="false" indent="1" shrinkToFit="false"/>
      <protection locked="false" hidden="false"/>
    </xf>
    <xf numFmtId="175" fontId="1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5" fontId="10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25" fillId="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5" fillId="10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5" fillId="8" borderId="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2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5" fontId="26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5" fontId="26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25" fillId="0" borderId="0" xfId="0" applyFont="true" applyBorder="false" applyAlignment="true" applyProtection="true">
      <alignment horizontal="left" vertical="center" textRotation="0" wrapText="false" indent="0" shrinkToFit="false"/>
      <protection locked="false" hidden="false"/>
    </xf>
    <xf numFmtId="175" fontId="10" fillId="1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5" fontId="10" fillId="1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8" fontId="4" fillId="8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25" fillId="8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4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0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1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5" fontId="27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8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21" fillId="0" borderId="0" xfId="0" applyFont="true" applyBorder="false" applyAlignment="true" applyProtection="true">
      <alignment horizontal="center" vertical="center" textRotation="0" wrapText="false" indent="0" shrinkToFit="false"/>
      <protection locked="false" hidden="false"/>
    </xf>
    <xf numFmtId="165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7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2" fontId="1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14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30" fillId="15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14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9" fontId="14" fillId="8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8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4" fillId="8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8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8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8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8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8" fillId="8" borderId="1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18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28" fillId="1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7" fillId="8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7" fillId="8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7" fillId="8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7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27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7" fillId="8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8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7" fillId="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16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31" fillId="17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16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25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5" fontId="25" fillId="10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5" fillId="8" borderId="2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5" fillId="8" borderId="1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5" fillId="8" borderId="13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16" fillId="1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5" fontId="16" fillId="1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1" fontId="25" fillId="10" borderId="1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18" fillId="8" borderId="15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4" fontId="27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4" fontId="27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5" fontId="25" fillId="8" borderId="19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81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14" fillId="8" borderId="17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7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27" fillId="0" borderId="1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5" fillId="10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75" fontId="25" fillId="8" borderId="8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8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3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3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19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34" fillId="2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19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3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bottom" textRotation="0" wrapText="false" indent="1" shrinkToFit="false"/>
      <protection locked="true" hidden="false"/>
    </xf>
    <xf numFmtId="171" fontId="17" fillId="8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0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8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9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1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8" borderId="2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1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37" fillId="2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21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21" fillId="4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5" fontId="3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3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3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3" fillId="7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4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5" fillId="1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5" fillId="8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2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8" fillId="0" borderId="2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38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3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42" fillId="24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2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9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0" borderId="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1" fontId="14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22" fillId="1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22" fillId="8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22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8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5" fontId="10" fillId="0" borderId="4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5" fontId="10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75" fontId="4" fillId="1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8" fontId="4" fillId="8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75" fontId="26" fillId="0" borderId="1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5" fontId="25" fillId="10" borderId="1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5" fontId="25" fillId="8" borderId="1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5" fontId="27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8" fontId="27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18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0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78" fontId="4" fillId="1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78" fontId="13" fillId="7" borderId="2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8" fontId="26" fillId="0" borderId="1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8" fontId="25" fillId="0" borderId="15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3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6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7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7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9" fillId="8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1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25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44" fillId="26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25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5" fontId="1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2" fontId="1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25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1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19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7" fillId="1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7" fillId="8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7" fillId="0" borderId="22" xfId="0" applyFont="true" applyBorder="true" applyAlignment="true" applyProtection="false">
      <alignment horizontal="left" vertical="bottom" textRotation="0" wrapText="false" indent="2" shrinkToFit="false"/>
      <protection locked="true" hidden="false"/>
    </xf>
    <xf numFmtId="165" fontId="7" fillId="1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8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27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45" fillId="28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27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85" fontId="22" fillId="1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85" fontId="22" fillId="8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4" fontId="4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4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4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4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2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9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7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6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6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6" fontId="6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7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1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4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1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50" fillId="3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31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9" fontId="1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2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6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14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3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51" fillId="34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3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1" fontId="7" fillId="3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0" fillId="3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3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8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7" fillId="3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35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1" fontId="20" fillId="35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71" fontId="14" fillId="8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8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7" fillId="3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8" fillId="3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7" fillId="10" borderId="2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8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4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4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28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8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23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8" fillId="8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1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4" fillId="8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36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52" fillId="37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36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0" fillId="1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8" fontId="8" fillId="38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53" fillId="39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2" fillId="3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38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8" fillId="0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2" fillId="38" borderId="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4" fillId="40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1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4" fillId="4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18" fillId="41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7" fontId="54" fillId="4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8" fillId="41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4" fillId="40" borderId="1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54" fillId="4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5" fontId="18" fillId="4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7" fontId="54" fillId="4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7" fontId="18" fillId="4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4" fillId="4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41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4" fillId="4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5" fontId="18" fillId="41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7" fontId="54" fillId="4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7" fontId="18" fillId="4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3" fillId="38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2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7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83" fontId="7" fillId="0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7" fillId="0" borderId="1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88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42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55" fillId="43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12" fillId="42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8" fontId="21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71" fontId="4" fillId="18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71" fontId="4" fillId="8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71" fontId="4" fillId="0" borderId="0" xfId="0" applyFont="true" applyBorder="false" applyAlignment="true" applyProtection="true">
      <alignment horizontal="right" vertical="center" textRotation="0" wrapText="false" indent="0" shrinkToFit="false"/>
      <protection locked="false" hidden="false"/>
    </xf>
    <xf numFmtId="164" fontId="18" fillId="0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25" fillId="18" borderId="7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1" fontId="25" fillId="8" borderId="7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7" fillId="0" borderId="2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8" fontId="12" fillId="1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9" fontId="7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8" fontId="2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4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9" fontId="5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8" fillId="1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8" fillId="8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10" borderId="1" xfId="0" applyFont="true" applyBorder="true" applyAlignment="true" applyProtection="false">
      <alignment horizontal="right" vertical="center" textRotation="90" wrapText="false" indent="0" shrinkToFit="false"/>
      <protection locked="true" hidden="false"/>
    </xf>
    <xf numFmtId="179" fontId="18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45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43" fillId="0" borderId="0" xfId="0" applyFont="true" applyBorder="false" applyAlignment="true" applyProtection="true">
      <alignment horizontal="left" vertical="top" textRotation="0" wrapText="false" indent="0" shrinkToFit="false"/>
      <protection locked="false" hidden="false"/>
    </xf>
    <xf numFmtId="168" fontId="57" fillId="46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5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9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6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9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8" fillId="0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0" fontId="5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12" fillId="1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9" fontId="1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80" fontId="60" fillId="0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9" fontId="12" fillId="12" borderId="2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7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90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0" fontId="0" fillId="4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4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1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92" fontId="1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3" fontId="1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94" fontId="12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Comma 2 2" xfId="21"/>
    <cellStyle name="Comma_BJH (Dec 2007)" xfId="22"/>
    <cellStyle name="Normal 2" xfId="23"/>
    <cellStyle name="Normal_BJH (Dec 2007)" xfId="24"/>
    <cellStyle name="Percent 2" xfId="25"/>
    <cellStyle name="Percent 2 2" xfId="26"/>
  </cellStyles>
  <colors>
    <indexedColors>
      <rgbColor rgb="FF000000"/>
      <rgbColor rgb="FFFFFFFF"/>
      <rgbColor rgb="FFFF0000"/>
      <rgbColor rgb="FFD9D9D9"/>
      <rgbColor rgb="FF0000FF"/>
      <rgbColor rgb="FFFFFF00"/>
      <rgbColor rgb="FFE5D5E0"/>
      <rgbColor rgb="FFD2DBE8"/>
      <rgbColor rgb="FF6E1423"/>
      <rgbColor rgb="FF008000"/>
      <rgbColor rgb="FF000080"/>
      <rgbColor rgb="FFB36B00"/>
      <rgbColor rgb="FF7A4A00"/>
      <rgbColor rgb="FF0E7C86"/>
      <rgbColor rgb="FFC0C0C0"/>
      <rgbColor rgb="FF808080"/>
      <rgbColor rgb="FFCEDAD4"/>
      <rgbColor rgb="FF7D2E68"/>
      <rgbColor rgb="FFFDEEE3"/>
      <rgbColor rgb="FFEAF1FB"/>
      <rgbColor rgb="FF7A4A21"/>
      <rgbColor rgb="FFB9500D"/>
      <rgbColor rgb="FF0070C0"/>
      <rgbColor rgb="FFD1D4DB"/>
      <rgbColor rgb="FF1E6E45"/>
      <rgbColor rgb="FFE4DAD2"/>
      <rgbColor rgb="FFEFE1CC"/>
      <rgbColor rgb="FFD7DBDE"/>
      <rgbColor rgb="FFDBDBDB"/>
      <rgbColor rgb="FF7A1F2B"/>
      <rgbColor rgb="FF117864"/>
      <rgbColor rgb="FFF7EBEC"/>
      <rgbColor rgb="FF00B0F0"/>
      <rgbColor rgb="FFCEE4E6"/>
      <rgbColor rgb="FFCFE4E0"/>
      <rgbColor rgb="FFFCE9CC"/>
      <rgbColor rgb="FFBFBFBF"/>
      <rgbColor rgb="FFECD1DE"/>
      <rgbColor rgb="FFDED4E6"/>
      <rgbColor rgb="FFFFD966"/>
      <rgbColor rgb="FF2456A6"/>
      <rgbColor rgb="FF2FBF9F"/>
      <rgbColor rgb="FFD2E2D9"/>
      <rgbColor rgb="FFF1DCCE"/>
      <rgbColor rgb="FFECD2D2"/>
      <rgbColor rgb="FFF2622E"/>
      <rgbColor rgb="FF535353"/>
      <rgbColor rgb="FFAFABAB"/>
      <rgbColor rgb="FF1F4E8C"/>
      <rgbColor rgb="FF089C61"/>
      <rgbColor rgb="FF0B4A2C"/>
      <rgbColor rgb="FF374B5C"/>
      <rgbColor rgb="FFA32020"/>
      <rgbColor rgb="FFA3195B"/>
      <rgbColor rgb="FF522C86"/>
      <rgbColor rgb="FF1B2A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externalLink" Target="externalLinks/externalLink1.xml"/><Relationship Id="rId19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3</xdr:row>
      <xdr:rowOff>0</xdr:rowOff>
    </xdr:from>
    <xdr:to>
      <xdr:col>2</xdr:col>
      <xdr:colOff>836640</xdr:colOff>
      <xdr:row>12</xdr:row>
      <xdr:rowOff>97920</xdr:rowOff>
    </xdr:to>
    <xdr:pic>
      <xdr:nvPicPr>
        <xdr:cNvPr id="0" name="Picture 1" descr="Weighted Average Cost of Capital"/>
        <xdr:cNvPicPr/>
      </xdr:nvPicPr>
      <xdr:blipFill>
        <a:blip r:embed="rId1"/>
        <a:stretch/>
      </xdr:blipFill>
      <xdr:spPr>
        <a:xfrm>
          <a:off x="211320" y="666720"/>
          <a:ext cx="3233160" cy="1555200"/>
        </a:xfrm>
        <a:prstGeom prst="rect">
          <a:avLst/>
        </a:prstGeom>
        <a:ln w="0">
          <a:noFill/>
        </a:ln>
      </xdr:spPr>
    </xdr:pic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../../D:/dheeraj/Financial%20Modeling%20Case%20Study/20-19-Linking-Statements-After.xls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  <sheetName val="Revenue"/>
      <sheetName val="Expenses"/>
      <sheetName val="YHOO-Op-Model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D2E68"/>
    <pageSetUpPr fitToPage="false"/>
  </sheetPr>
  <dimension ref="A1:U116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T25" activeCellId="0" sqref="T25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34"/>
    <col collapsed="false" customWidth="true" hidden="false" outlineLevel="0" max="6" min="3" style="2" width="13"/>
    <col collapsed="false" customWidth="true" hidden="false" outlineLevel="0" max="9" min="7" style="2" width="12"/>
    <col collapsed="false" customWidth="true" hidden="false" outlineLevel="0" max="10" min="10" style="2" width="13.11"/>
    <col collapsed="false" customWidth="false" hidden="false" outlineLevel="0" max="12" min="11" style="2" width="9.11"/>
    <col collapsed="false" customWidth="true" hidden="false" outlineLevel="0" max="13" min="13" style="2" width="37.56"/>
    <col collapsed="false" customWidth="true" hidden="false" outlineLevel="0" max="17" min="14" style="2" width="11.67"/>
    <col collapsed="false" customWidth="true" hidden="false" outlineLevel="0" max="20" min="18" style="2" width="12"/>
    <col collapsed="false" customWidth="true" hidden="false" outlineLevel="0" max="21" min="21" style="2" width="13.11"/>
    <col collapsed="false" customWidth="false" hidden="false" outlineLevel="0" max="254" min="22" style="2" width="9.11"/>
    <col collapsed="false" customWidth="true" hidden="false" outlineLevel="0" max="255" min="255" style="2" width="2.44"/>
    <col collapsed="false" customWidth="true" hidden="false" outlineLevel="0" max="256" min="256" style="2" width="37.56"/>
    <col collapsed="false" customWidth="true" hidden="false" outlineLevel="0" max="260" min="257" style="2" width="11.67"/>
    <col collapsed="false" customWidth="true" hidden="false" outlineLevel="0" max="263" min="261" style="2" width="12"/>
    <col collapsed="false" customWidth="true" hidden="false" outlineLevel="0" max="265" min="264" style="2" width="13.11"/>
    <col collapsed="false" customWidth="true" hidden="false" outlineLevel="0" max="266" min="266" style="2" width="14.88"/>
    <col collapsed="false" customWidth="false" hidden="false" outlineLevel="0" max="510" min="267" style="2" width="9.11"/>
    <col collapsed="false" customWidth="true" hidden="false" outlineLevel="0" max="511" min="511" style="2" width="2.44"/>
    <col collapsed="false" customWidth="true" hidden="false" outlineLevel="0" max="512" min="512" style="2" width="37.56"/>
    <col collapsed="false" customWidth="true" hidden="false" outlineLevel="0" max="516" min="513" style="2" width="11.67"/>
    <col collapsed="false" customWidth="true" hidden="false" outlineLevel="0" max="519" min="517" style="2" width="12"/>
    <col collapsed="false" customWidth="true" hidden="false" outlineLevel="0" max="521" min="520" style="2" width="13.11"/>
    <col collapsed="false" customWidth="true" hidden="false" outlineLevel="0" max="522" min="522" style="2" width="14.88"/>
    <col collapsed="false" customWidth="false" hidden="false" outlineLevel="0" max="766" min="523" style="2" width="9.11"/>
    <col collapsed="false" customWidth="true" hidden="false" outlineLevel="0" max="767" min="767" style="2" width="2.44"/>
    <col collapsed="false" customWidth="true" hidden="false" outlineLevel="0" max="768" min="768" style="2" width="37.56"/>
    <col collapsed="false" customWidth="true" hidden="false" outlineLevel="0" max="772" min="769" style="2" width="11.67"/>
    <col collapsed="false" customWidth="true" hidden="false" outlineLevel="0" max="775" min="773" style="2" width="12"/>
    <col collapsed="false" customWidth="true" hidden="false" outlineLevel="0" max="777" min="776" style="2" width="13.11"/>
    <col collapsed="false" customWidth="true" hidden="false" outlineLevel="0" max="778" min="778" style="2" width="14.88"/>
    <col collapsed="false" customWidth="false" hidden="false" outlineLevel="0" max="1022" min="779" style="2" width="9.11"/>
    <col collapsed="false" customWidth="true" hidden="false" outlineLevel="0" max="1023" min="1023" style="2" width="2.44"/>
    <col collapsed="false" customWidth="true" hidden="false" outlineLevel="0" max="1024" min="1024" style="2" width="37.56"/>
    <col collapsed="false" customWidth="true" hidden="false" outlineLevel="0" max="1028" min="1025" style="2" width="11.67"/>
    <col collapsed="false" customWidth="true" hidden="false" outlineLevel="0" max="1031" min="1029" style="2" width="12"/>
    <col collapsed="false" customWidth="true" hidden="false" outlineLevel="0" max="1033" min="1032" style="2" width="13.11"/>
    <col collapsed="false" customWidth="true" hidden="false" outlineLevel="0" max="1034" min="1034" style="2" width="14.88"/>
    <col collapsed="false" customWidth="false" hidden="false" outlineLevel="0" max="1278" min="1035" style="2" width="9.11"/>
    <col collapsed="false" customWidth="true" hidden="false" outlineLevel="0" max="1279" min="1279" style="2" width="2.44"/>
    <col collapsed="false" customWidth="true" hidden="false" outlineLevel="0" max="1280" min="1280" style="2" width="37.56"/>
    <col collapsed="false" customWidth="true" hidden="false" outlineLevel="0" max="1284" min="1281" style="2" width="11.67"/>
    <col collapsed="false" customWidth="true" hidden="false" outlineLevel="0" max="1287" min="1285" style="2" width="12"/>
    <col collapsed="false" customWidth="true" hidden="false" outlineLevel="0" max="1289" min="1288" style="2" width="13.11"/>
    <col collapsed="false" customWidth="true" hidden="false" outlineLevel="0" max="1290" min="1290" style="2" width="14.88"/>
    <col collapsed="false" customWidth="false" hidden="false" outlineLevel="0" max="1534" min="1291" style="2" width="9.11"/>
    <col collapsed="false" customWidth="true" hidden="false" outlineLevel="0" max="1535" min="1535" style="2" width="2.44"/>
    <col collapsed="false" customWidth="true" hidden="false" outlineLevel="0" max="1536" min="1536" style="2" width="37.56"/>
    <col collapsed="false" customWidth="true" hidden="false" outlineLevel="0" max="1540" min="1537" style="2" width="11.67"/>
    <col collapsed="false" customWidth="true" hidden="false" outlineLevel="0" max="1543" min="1541" style="2" width="12"/>
    <col collapsed="false" customWidth="true" hidden="false" outlineLevel="0" max="1545" min="1544" style="2" width="13.11"/>
    <col collapsed="false" customWidth="true" hidden="false" outlineLevel="0" max="1546" min="1546" style="2" width="14.88"/>
    <col collapsed="false" customWidth="false" hidden="false" outlineLevel="0" max="1790" min="1547" style="2" width="9.11"/>
    <col collapsed="false" customWidth="true" hidden="false" outlineLevel="0" max="1791" min="1791" style="2" width="2.44"/>
    <col collapsed="false" customWidth="true" hidden="false" outlineLevel="0" max="1792" min="1792" style="2" width="37.56"/>
    <col collapsed="false" customWidth="true" hidden="false" outlineLevel="0" max="1796" min="1793" style="2" width="11.67"/>
    <col collapsed="false" customWidth="true" hidden="false" outlineLevel="0" max="1799" min="1797" style="2" width="12"/>
    <col collapsed="false" customWidth="true" hidden="false" outlineLevel="0" max="1801" min="1800" style="2" width="13.11"/>
    <col collapsed="false" customWidth="true" hidden="false" outlineLevel="0" max="1802" min="1802" style="2" width="14.88"/>
    <col collapsed="false" customWidth="false" hidden="false" outlineLevel="0" max="2046" min="1803" style="2" width="9.11"/>
    <col collapsed="false" customWidth="true" hidden="false" outlineLevel="0" max="2047" min="2047" style="2" width="2.44"/>
    <col collapsed="false" customWidth="true" hidden="false" outlineLevel="0" max="2048" min="2048" style="2" width="37.56"/>
    <col collapsed="false" customWidth="true" hidden="false" outlineLevel="0" max="2052" min="2049" style="2" width="11.67"/>
    <col collapsed="false" customWidth="true" hidden="false" outlineLevel="0" max="2055" min="2053" style="2" width="12"/>
    <col collapsed="false" customWidth="true" hidden="false" outlineLevel="0" max="2057" min="2056" style="2" width="13.11"/>
    <col collapsed="false" customWidth="true" hidden="false" outlineLevel="0" max="2058" min="2058" style="2" width="14.88"/>
    <col collapsed="false" customWidth="false" hidden="false" outlineLevel="0" max="2302" min="2059" style="2" width="9.11"/>
    <col collapsed="false" customWidth="true" hidden="false" outlineLevel="0" max="2303" min="2303" style="2" width="2.44"/>
    <col collapsed="false" customWidth="true" hidden="false" outlineLevel="0" max="2304" min="2304" style="2" width="37.56"/>
    <col collapsed="false" customWidth="true" hidden="false" outlineLevel="0" max="2308" min="2305" style="2" width="11.67"/>
    <col collapsed="false" customWidth="true" hidden="false" outlineLevel="0" max="2311" min="2309" style="2" width="12"/>
    <col collapsed="false" customWidth="true" hidden="false" outlineLevel="0" max="2313" min="2312" style="2" width="13.11"/>
    <col collapsed="false" customWidth="true" hidden="false" outlineLevel="0" max="2314" min="2314" style="2" width="14.88"/>
    <col collapsed="false" customWidth="false" hidden="false" outlineLevel="0" max="2558" min="2315" style="2" width="9.11"/>
    <col collapsed="false" customWidth="true" hidden="false" outlineLevel="0" max="2559" min="2559" style="2" width="2.44"/>
    <col collapsed="false" customWidth="true" hidden="false" outlineLevel="0" max="2560" min="2560" style="2" width="37.56"/>
    <col collapsed="false" customWidth="true" hidden="false" outlineLevel="0" max="2564" min="2561" style="2" width="11.67"/>
    <col collapsed="false" customWidth="true" hidden="false" outlineLevel="0" max="2567" min="2565" style="2" width="12"/>
    <col collapsed="false" customWidth="true" hidden="false" outlineLevel="0" max="2569" min="2568" style="2" width="13.11"/>
    <col collapsed="false" customWidth="true" hidden="false" outlineLevel="0" max="2570" min="2570" style="2" width="14.88"/>
    <col collapsed="false" customWidth="false" hidden="false" outlineLevel="0" max="2814" min="2571" style="2" width="9.11"/>
    <col collapsed="false" customWidth="true" hidden="false" outlineLevel="0" max="2815" min="2815" style="2" width="2.44"/>
    <col collapsed="false" customWidth="true" hidden="false" outlineLevel="0" max="2816" min="2816" style="2" width="37.56"/>
    <col collapsed="false" customWidth="true" hidden="false" outlineLevel="0" max="2820" min="2817" style="2" width="11.67"/>
    <col collapsed="false" customWidth="true" hidden="false" outlineLevel="0" max="2823" min="2821" style="2" width="12"/>
    <col collapsed="false" customWidth="true" hidden="false" outlineLevel="0" max="2825" min="2824" style="2" width="13.11"/>
    <col collapsed="false" customWidth="true" hidden="false" outlineLevel="0" max="2826" min="2826" style="2" width="14.88"/>
    <col collapsed="false" customWidth="false" hidden="false" outlineLevel="0" max="3070" min="2827" style="2" width="9.11"/>
    <col collapsed="false" customWidth="true" hidden="false" outlineLevel="0" max="3071" min="3071" style="2" width="2.44"/>
    <col collapsed="false" customWidth="true" hidden="false" outlineLevel="0" max="3072" min="3072" style="2" width="37.56"/>
    <col collapsed="false" customWidth="true" hidden="false" outlineLevel="0" max="3076" min="3073" style="2" width="11.67"/>
    <col collapsed="false" customWidth="true" hidden="false" outlineLevel="0" max="3079" min="3077" style="2" width="12"/>
    <col collapsed="false" customWidth="true" hidden="false" outlineLevel="0" max="3081" min="3080" style="2" width="13.11"/>
    <col collapsed="false" customWidth="true" hidden="false" outlineLevel="0" max="3082" min="3082" style="2" width="14.88"/>
    <col collapsed="false" customWidth="false" hidden="false" outlineLevel="0" max="3326" min="3083" style="2" width="9.11"/>
    <col collapsed="false" customWidth="true" hidden="false" outlineLevel="0" max="3327" min="3327" style="2" width="2.44"/>
    <col collapsed="false" customWidth="true" hidden="false" outlineLevel="0" max="3328" min="3328" style="2" width="37.56"/>
    <col collapsed="false" customWidth="true" hidden="false" outlineLevel="0" max="3332" min="3329" style="2" width="11.67"/>
    <col collapsed="false" customWidth="true" hidden="false" outlineLevel="0" max="3335" min="3333" style="2" width="12"/>
    <col collapsed="false" customWidth="true" hidden="false" outlineLevel="0" max="3337" min="3336" style="2" width="13.11"/>
    <col collapsed="false" customWidth="true" hidden="false" outlineLevel="0" max="3338" min="3338" style="2" width="14.88"/>
    <col collapsed="false" customWidth="false" hidden="false" outlineLevel="0" max="3582" min="3339" style="2" width="9.11"/>
    <col collapsed="false" customWidth="true" hidden="false" outlineLevel="0" max="3583" min="3583" style="2" width="2.44"/>
    <col collapsed="false" customWidth="true" hidden="false" outlineLevel="0" max="3584" min="3584" style="2" width="37.56"/>
    <col collapsed="false" customWidth="true" hidden="false" outlineLevel="0" max="3588" min="3585" style="2" width="11.67"/>
    <col collapsed="false" customWidth="true" hidden="false" outlineLevel="0" max="3591" min="3589" style="2" width="12"/>
    <col collapsed="false" customWidth="true" hidden="false" outlineLevel="0" max="3593" min="3592" style="2" width="13.11"/>
    <col collapsed="false" customWidth="true" hidden="false" outlineLevel="0" max="3594" min="3594" style="2" width="14.88"/>
    <col collapsed="false" customWidth="false" hidden="false" outlineLevel="0" max="3838" min="3595" style="2" width="9.11"/>
    <col collapsed="false" customWidth="true" hidden="false" outlineLevel="0" max="3839" min="3839" style="2" width="2.44"/>
    <col collapsed="false" customWidth="true" hidden="false" outlineLevel="0" max="3840" min="3840" style="2" width="37.56"/>
    <col collapsed="false" customWidth="true" hidden="false" outlineLevel="0" max="3844" min="3841" style="2" width="11.67"/>
    <col collapsed="false" customWidth="true" hidden="false" outlineLevel="0" max="3847" min="3845" style="2" width="12"/>
    <col collapsed="false" customWidth="true" hidden="false" outlineLevel="0" max="3849" min="3848" style="2" width="13.11"/>
    <col collapsed="false" customWidth="true" hidden="false" outlineLevel="0" max="3850" min="3850" style="2" width="14.88"/>
    <col collapsed="false" customWidth="false" hidden="false" outlineLevel="0" max="4094" min="3851" style="2" width="9.11"/>
    <col collapsed="false" customWidth="true" hidden="false" outlineLevel="0" max="4095" min="4095" style="2" width="2.44"/>
    <col collapsed="false" customWidth="true" hidden="false" outlineLevel="0" max="4096" min="4096" style="2" width="37.56"/>
    <col collapsed="false" customWidth="true" hidden="false" outlineLevel="0" max="4100" min="4097" style="2" width="11.67"/>
    <col collapsed="false" customWidth="true" hidden="false" outlineLevel="0" max="4103" min="4101" style="2" width="12"/>
    <col collapsed="false" customWidth="true" hidden="false" outlineLevel="0" max="4105" min="4104" style="2" width="13.11"/>
    <col collapsed="false" customWidth="true" hidden="false" outlineLevel="0" max="4106" min="4106" style="2" width="14.88"/>
    <col collapsed="false" customWidth="false" hidden="false" outlineLevel="0" max="4350" min="4107" style="2" width="9.11"/>
    <col collapsed="false" customWidth="true" hidden="false" outlineLevel="0" max="4351" min="4351" style="2" width="2.44"/>
    <col collapsed="false" customWidth="true" hidden="false" outlineLevel="0" max="4352" min="4352" style="2" width="37.56"/>
    <col collapsed="false" customWidth="true" hidden="false" outlineLevel="0" max="4356" min="4353" style="2" width="11.67"/>
    <col collapsed="false" customWidth="true" hidden="false" outlineLevel="0" max="4359" min="4357" style="2" width="12"/>
    <col collapsed="false" customWidth="true" hidden="false" outlineLevel="0" max="4361" min="4360" style="2" width="13.11"/>
    <col collapsed="false" customWidth="true" hidden="false" outlineLevel="0" max="4362" min="4362" style="2" width="14.88"/>
    <col collapsed="false" customWidth="false" hidden="false" outlineLevel="0" max="4606" min="4363" style="2" width="9.11"/>
    <col collapsed="false" customWidth="true" hidden="false" outlineLevel="0" max="4607" min="4607" style="2" width="2.44"/>
    <col collapsed="false" customWidth="true" hidden="false" outlineLevel="0" max="4608" min="4608" style="2" width="37.56"/>
    <col collapsed="false" customWidth="true" hidden="false" outlineLevel="0" max="4612" min="4609" style="2" width="11.67"/>
    <col collapsed="false" customWidth="true" hidden="false" outlineLevel="0" max="4615" min="4613" style="2" width="12"/>
    <col collapsed="false" customWidth="true" hidden="false" outlineLevel="0" max="4617" min="4616" style="2" width="13.11"/>
    <col collapsed="false" customWidth="true" hidden="false" outlineLevel="0" max="4618" min="4618" style="2" width="14.88"/>
    <col collapsed="false" customWidth="false" hidden="false" outlineLevel="0" max="4862" min="4619" style="2" width="9.11"/>
    <col collapsed="false" customWidth="true" hidden="false" outlineLevel="0" max="4863" min="4863" style="2" width="2.44"/>
    <col collapsed="false" customWidth="true" hidden="false" outlineLevel="0" max="4864" min="4864" style="2" width="37.56"/>
    <col collapsed="false" customWidth="true" hidden="false" outlineLevel="0" max="4868" min="4865" style="2" width="11.67"/>
    <col collapsed="false" customWidth="true" hidden="false" outlineLevel="0" max="4871" min="4869" style="2" width="12"/>
    <col collapsed="false" customWidth="true" hidden="false" outlineLevel="0" max="4873" min="4872" style="2" width="13.11"/>
    <col collapsed="false" customWidth="true" hidden="false" outlineLevel="0" max="4874" min="4874" style="2" width="14.88"/>
    <col collapsed="false" customWidth="false" hidden="false" outlineLevel="0" max="5118" min="4875" style="2" width="9.11"/>
    <col collapsed="false" customWidth="true" hidden="false" outlineLevel="0" max="5119" min="5119" style="2" width="2.44"/>
    <col collapsed="false" customWidth="true" hidden="false" outlineLevel="0" max="5120" min="5120" style="2" width="37.56"/>
    <col collapsed="false" customWidth="true" hidden="false" outlineLevel="0" max="5124" min="5121" style="2" width="11.67"/>
    <col collapsed="false" customWidth="true" hidden="false" outlineLevel="0" max="5127" min="5125" style="2" width="12"/>
    <col collapsed="false" customWidth="true" hidden="false" outlineLevel="0" max="5129" min="5128" style="2" width="13.11"/>
    <col collapsed="false" customWidth="true" hidden="false" outlineLevel="0" max="5130" min="5130" style="2" width="14.88"/>
    <col collapsed="false" customWidth="false" hidden="false" outlineLevel="0" max="5374" min="5131" style="2" width="9.11"/>
    <col collapsed="false" customWidth="true" hidden="false" outlineLevel="0" max="5375" min="5375" style="2" width="2.44"/>
    <col collapsed="false" customWidth="true" hidden="false" outlineLevel="0" max="5376" min="5376" style="2" width="37.56"/>
    <col collapsed="false" customWidth="true" hidden="false" outlineLevel="0" max="5380" min="5377" style="2" width="11.67"/>
    <col collapsed="false" customWidth="true" hidden="false" outlineLevel="0" max="5383" min="5381" style="2" width="12"/>
    <col collapsed="false" customWidth="true" hidden="false" outlineLevel="0" max="5385" min="5384" style="2" width="13.11"/>
    <col collapsed="false" customWidth="true" hidden="false" outlineLevel="0" max="5386" min="5386" style="2" width="14.88"/>
    <col collapsed="false" customWidth="false" hidden="false" outlineLevel="0" max="5630" min="5387" style="2" width="9.11"/>
    <col collapsed="false" customWidth="true" hidden="false" outlineLevel="0" max="5631" min="5631" style="2" width="2.44"/>
    <col collapsed="false" customWidth="true" hidden="false" outlineLevel="0" max="5632" min="5632" style="2" width="37.56"/>
    <col collapsed="false" customWidth="true" hidden="false" outlineLevel="0" max="5636" min="5633" style="2" width="11.67"/>
    <col collapsed="false" customWidth="true" hidden="false" outlineLevel="0" max="5639" min="5637" style="2" width="12"/>
    <col collapsed="false" customWidth="true" hidden="false" outlineLevel="0" max="5641" min="5640" style="2" width="13.11"/>
    <col collapsed="false" customWidth="true" hidden="false" outlineLevel="0" max="5642" min="5642" style="2" width="14.88"/>
    <col collapsed="false" customWidth="false" hidden="false" outlineLevel="0" max="5886" min="5643" style="2" width="9.11"/>
    <col collapsed="false" customWidth="true" hidden="false" outlineLevel="0" max="5887" min="5887" style="2" width="2.44"/>
    <col collapsed="false" customWidth="true" hidden="false" outlineLevel="0" max="5888" min="5888" style="2" width="37.56"/>
    <col collapsed="false" customWidth="true" hidden="false" outlineLevel="0" max="5892" min="5889" style="2" width="11.67"/>
    <col collapsed="false" customWidth="true" hidden="false" outlineLevel="0" max="5895" min="5893" style="2" width="12"/>
    <col collapsed="false" customWidth="true" hidden="false" outlineLevel="0" max="5897" min="5896" style="2" width="13.11"/>
    <col collapsed="false" customWidth="true" hidden="false" outlineLevel="0" max="5898" min="5898" style="2" width="14.88"/>
    <col collapsed="false" customWidth="false" hidden="false" outlineLevel="0" max="6142" min="5899" style="2" width="9.11"/>
    <col collapsed="false" customWidth="true" hidden="false" outlineLevel="0" max="6143" min="6143" style="2" width="2.44"/>
    <col collapsed="false" customWidth="true" hidden="false" outlineLevel="0" max="6144" min="6144" style="2" width="37.56"/>
    <col collapsed="false" customWidth="true" hidden="false" outlineLevel="0" max="6148" min="6145" style="2" width="11.67"/>
    <col collapsed="false" customWidth="true" hidden="false" outlineLevel="0" max="6151" min="6149" style="2" width="12"/>
    <col collapsed="false" customWidth="true" hidden="false" outlineLevel="0" max="6153" min="6152" style="2" width="13.11"/>
    <col collapsed="false" customWidth="true" hidden="false" outlineLevel="0" max="6154" min="6154" style="2" width="14.88"/>
    <col collapsed="false" customWidth="false" hidden="false" outlineLevel="0" max="6398" min="6155" style="2" width="9.11"/>
    <col collapsed="false" customWidth="true" hidden="false" outlineLevel="0" max="6399" min="6399" style="2" width="2.44"/>
    <col collapsed="false" customWidth="true" hidden="false" outlineLevel="0" max="6400" min="6400" style="2" width="37.56"/>
    <col collapsed="false" customWidth="true" hidden="false" outlineLevel="0" max="6404" min="6401" style="2" width="11.67"/>
    <col collapsed="false" customWidth="true" hidden="false" outlineLevel="0" max="6407" min="6405" style="2" width="12"/>
    <col collapsed="false" customWidth="true" hidden="false" outlineLevel="0" max="6409" min="6408" style="2" width="13.11"/>
    <col collapsed="false" customWidth="true" hidden="false" outlineLevel="0" max="6410" min="6410" style="2" width="14.88"/>
    <col collapsed="false" customWidth="false" hidden="false" outlineLevel="0" max="6654" min="6411" style="2" width="9.11"/>
    <col collapsed="false" customWidth="true" hidden="false" outlineLevel="0" max="6655" min="6655" style="2" width="2.44"/>
    <col collapsed="false" customWidth="true" hidden="false" outlineLevel="0" max="6656" min="6656" style="2" width="37.56"/>
    <col collapsed="false" customWidth="true" hidden="false" outlineLevel="0" max="6660" min="6657" style="2" width="11.67"/>
    <col collapsed="false" customWidth="true" hidden="false" outlineLevel="0" max="6663" min="6661" style="2" width="12"/>
    <col collapsed="false" customWidth="true" hidden="false" outlineLevel="0" max="6665" min="6664" style="2" width="13.11"/>
    <col collapsed="false" customWidth="true" hidden="false" outlineLevel="0" max="6666" min="6666" style="2" width="14.88"/>
    <col collapsed="false" customWidth="false" hidden="false" outlineLevel="0" max="6910" min="6667" style="2" width="9.11"/>
    <col collapsed="false" customWidth="true" hidden="false" outlineLevel="0" max="6911" min="6911" style="2" width="2.44"/>
    <col collapsed="false" customWidth="true" hidden="false" outlineLevel="0" max="6912" min="6912" style="2" width="37.56"/>
    <col collapsed="false" customWidth="true" hidden="false" outlineLevel="0" max="6916" min="6913" style="2" width="11.67"/>
    <col collapsed="false" customWidth="true" hidden="false" outlineLevel="0" max="6919" min="6917" style="2" width="12"/>
    <col collapsed="false" customWidth="true" hidden="false" outlineLevel="0" max="6921" min="6920" style="2" width="13.11"/>
    <col collapsed="false" customWidth="true" hidden="false" outlineLevel="0" max="6922" min="6922" style="2" width="14.88"/>
    <col collapsed="false" customWidth="false" hidden="false" outlineLevel="0" max="7166" min="6923" style="2" width="9.11"/>
    <col collapsed="false" customWidth="true" hidden="false" outlineLevel="0" max="7167" min="7167" style="2" width="2.44"/>
    <col collapsed="false" customWidth="true" hidden="false" outlineLevel="0" max="7168" min="7168" style="2" width="37.56"/>
    <col collapsed="false" customWidth="true" hidden="false" outlineLevel="0" max="7172" min="7169" style="2" width="11.67"/>
    <col collapsed="false" customWidth="true" hidden="false" outlineLevel="0" max="7175" min="7173" style="2" width="12"/>
    <col collapsed="false" customWidth="true" hidden="false" outlineLevel="0" max="7177" min="7176" style="2" width="13.11"/>
    <col collapsed="false" customWidth="true" hidden="false" outlineLevel="0" max="7178" min="7178" style="2" width="14.88"/>
    <col collapsed="false" customWidth="false" hidden="false" outlineLevel="0" max="7422" min="7179" style="2" width="9.11"/>
    <col collapsed="false" customWidth="true" hidden="false" outlineLevel="0" max="7423" min="7423" style="2" width="2.44"/>
    <col collapsed="false" customWidth="true" hidden="false" outlineLevel="0" max="7424" min="7424" style="2" width="37.56"/>
    <col collapsed="false" customWidth="true" hidden="false" outlineLevel="0" max="7428" min="7425" style="2" width="11.67"/>
    <col collapsed="false" customWidth="true" hidden="false" outlineLevel="0" max="7431" min="7429" style="2" width="12"/>
    <col collapsed="false" customWidth="true" hidden="false" outlineLevel="0" max="7433" min="7432" style="2" width="13.11"/>
    <col collapsed="false" customWidth="true" hidden="false" outlineLevel="0" max="7434" min="7434" style="2" width="14.88"/>
    <col collapsed="false" customWidth="false" hidden="false" outlineLevel="0" max="7678" min="7435" style="2" width="9.11"/>
    <col collapsed="false" customWidth="true" hidden="false" outlineLevel="0" max="7679" min="7679" style="2" width="2.44"/>
    <col collapsed="false" customWidth="true" hidden="false" outlineLevel="0" max="7680" min="7680" style="2" width="37.56"/>
    <col collapsed="false" customWidth="true" hidden="false" outlineLevel="0" max="7684" min="7681" style="2" width="11.67"/>
    <col collapsed="false" customWidth="true" hidden="false" outlineLevel="0" max="7687" min="7685" style="2" width="12"/>
    <col collapsed="false" customWidth="true" hidden="false" outlineLevel="0" max="7689" min="7688" style="2" width="13.11"/>
    <col collapsed="false" customWidth="true" hidden="false" outlineLevel="0" max="7690" min="7690" style="2" width="14.88"/>
    <col collapsed="false" customWidth="false" hidden="false" outlineLevel="0" max="7934" min="7691" style="2" width="9.11"/>
    <col collapsed="false" customWidth="true" hidden="false" outlineLevel="0" max="7935" min="7935" style="2" width="2.44"/>
    <col collapsed="false" customWidth="true" hidden="false" outlineLevel="0" max="7936" min="7936" style="2" width="37.56"/>
    <col collapsed="false" customWidth="true" hidden="false" outlineLevel="0" max="7940" min="7937" style="2" width="11.67"/>
    <col collapsed="false" customWidth="true" hidden="false" outlineLevel="0" max="7943" min="7941" style="2" width="12"/>
    <col collapsed="false" customWidth="true" hidden="false" outlineLevel="0" max="7945" min="7944" style="2" width="13.11"/>
    <col collapsed="false" customWidth="true" hidden="false" outlineLevel="0" max="7946" min="7946" style="2" width="14.88"/>
    <col collapsed="false" customWidth="false" hidden="false" outlineLevel="0" max="8190" min="7947" style="2" width="9.11"/>
    <col collapsed="false" customWidth="true" hidden="false" outlineLevel="0" max="8191" min="8191" style="2" width="2.44"/>
    <col collapsed="false" customWidth="true" hidden="false" outlineLevel="0" max="8192" min="8192" style="2" width="37.56"/>
    <col collapsed="false" customWidth="true" hidden="false" outlineLevel="0" max="8196" min="8193" style="2" width="11.67"/>
    <col collapsed="false" customWidth="true" hidden="false" outlineLevel="0" max="8199" min="8197" style="2" width="12"/>
    <col collapsed="false" customWidth="true" hidden="false" outlineLevel="0" max="8201" min="8200" style="2" width="13.11"/>
    <col collapsed="false" customWidth="true" hidden="false" outlineLevel="0" max="8202" min="8202" style="2" width="14.88"/>
    <col collapsed="false" customWidth="false" hidden="false" outlineLevel="0" max="8446" min="8203" style="2" width="9.11"/>
    <col collapsed="false" customWidth="true" hidden="false" outlineLevel="0" max="8447" min="8447" style="2" width="2.44"/>
    <col collapsed="false" customWidth="true" hidden="false" outlineLevel="0" max="8448" min="8448" style="2" width="37.56"/>
    <col collapsed="false" customWidth="true" hidden="false" outlineLevel="0" max="8452" min="8449" style="2" width="11.67"/>
    <col collapsed="false" customWidth="true" hidden="false" outlineLevel="0" max="8455" min="8453" style="2" width="12"/>
    <col collapsed="false" customWidth="true" hidden="false" outlineLevel="0" max="8457" min="8456" style="2" width="13.11"/>
    <col collapsed="false" customWidth="true" hidden="false" outlineLevel="0" max="8458" min="8458" style="2" width="14.88"/>
    <col collapsed="false" customWidth="false" hidden="false" outlineLevel="0" max="8702" min="8459" style="2" width="9.11"/>
    <col collapsed="false" customWidth="true" hidden="false" outlineLevel="0" max="8703" min="8703" style="2" width="2.44"/>
    <col collapsed="false" customWidth="true" hidden="false" outlineLevel="0" max="8704" min="8704" style="2" width="37.56"/>
    <col collapsed="false" customWidth="true" hidden="false" outlineLevel="0" max="8708" min="8705" style="2" width="11.67"/>
    <col collapsed="false" customWidth="true" hidden="false" outlineLevel="0" max="8711" min="8709" style="2" width="12"/>
    <col collapsed="false" customWidth="true" hidden="false" outlineLevel="0" max="8713" min="8712" style="2" width="13.11"/>
    <col collapsed="false" customWidth="true" hidden="false" outlineLevel="0" max="8714" min="8714" style="2" width="14.88"/>
    <col collapsed="false" customWidth="false" hidden="false" outlineLevel="0" max="8958" min="8715" style="2" width="9.11"/>
    <col collapsed="false" customWidth="true" hidden="false" outlineLevel="0" max="8959" min="8959" style="2" width="2.44"/>
    <col collapsed="false" customWidth="true" hidden="false" outlineLevel="0" max="8960" min="8960" style="2" width="37.56"/>
    <col collapsed="false" customWidth="true" hidden="false" outlineLevel="0" max="8964" min="8961" style="2" width="11.67"/>
    <col collapsed="false" customWidth="true" hidden="false" outlineLevel="0" max="8967" min="8965" style="2" width="12"/>
    <col collapsed="false" customWidth="true" hidden="false" outlineLevel="0" max="8969" min="8968" style="2" width="13.11"/>
    <col collapsed="false" customWidth="true" hidden="false" outlineLevel="0" max="8970" min="8970" style="2" width="14.88"/>
    <col collapsed="false" customWidth="false" hidden="false" outlineLevel="0" max="9214" min="8971" style="2" width="9.11"/>
    <col collapsed="false" customWidth="true" hidden="false" outlineLevel="0" max="9215" min="9215" style="2" width="2.44"/>
    <col collapsed="false" customWidth="true" hidden="false" outlineLevel="0" max="9216" min="9216" style="2" width="37.56"/>
    <col collapsed="false" customWidth="true" hidden="false" outlineLevel="0" max="9220" min="9217" style="2" width="11.67"/>
    <col collapsed="false" customWidth="true" hidden="false" outlineLevel="0" max="9223" min="9221" style="2" width="12"/>
    <col collapsed="false" customWidth="true" hidden="false" outlineLevel="0" max="9225" min="9224" style="2" width="13.11"/>
    <col collapsed="false" customWidth="true" hidden="false" outlineLevel="0" max="9226" min="9226" style="2" width="14.88"/>
    <col collapsed="false" customWidth="false" hidden="false" outlineLevel="0" max="9470" min="9227" style="2" width="9.11"/>
    <col collapsed="false" customWidth="true" hidden="false" outlineLevel="0" max="9471" min="9471" style="2" width="2.44"/>
    <col collapsed="false" customWidth="true" hidden="false" outlineLevel="0" max="9472" min="9472" style="2" width="37.56"/>
    <col collapsed="false" customWidth="true" hidden="false" outlineLevel="0" max="9476" min="9473" style="2" width="11.67"/>
    <col collapsed="false" customWidth="true" hidden="false" outlineLevel="0" max="9479" min="9477" style="2" width="12"/>
    <col collapsed="false" customWidth="true" hidden="false" outlineLevel="0" max="9481" min="9480" style="2" width="13.11"/>
    <col collapsed="false" customWidth="true" hidden="false" outlineLevel="0" max="9482" min="9482" style="2" width="14.88"/>
    <col collapsed="false" customWidth="false" hidden="false" outlineLevel="0" max="9726" min="9483" style="2" width="9.11"/>
    <col collapsed="false" customWidth="true" hidden="false" outlineLevel="0" max="9727" min="9727" style="2" width="2.44"/>
    <col collapsed="false" customWidth="true" hidden="false" outlineLevel="0" max="9728" min="9728" style="2" width="37.56"/>
    <col collapsed="false" customWidth="true" hidden="false" outlineLevel="0" max="9732" min="9729" style="2" width="11.67"/>
    <col collapsed="false" customWidth="true" hidden="false" outlineLevel="0" max="9735" min="9733" style="2" width="12"/>
    <col collapsed="false" customWidth="true" hidden="false" outlineLevel="0" max="9737" min="9736" style="2" width="13.11"/>
    <col collapsed="false" customWidth="true" hidden="false" outlineLevel="0" max="9738" min="9738" style="2" width="14.88"/>
    <col collapsed="false" customWidth="false" hidden="false" outlineLevel="0" max="9982" min="9739" style="2" width="9.11"/>
    <col collapsed="false" customWidth="true" hidden="false" outlineLevel="0" max="9983" min="9983" style="2" width="2.44"/>
    <col collapsed="false" customWidth="true" hidden="false" outlineLevel="0" max="9984" min="9984" style="2" width="37.56"/>
    <col collapsed="false" customWidth="true" hidden="false" outlineLevel="0" max="9988" min="9985" style="2" width="11.67"/>
    <col collapsed="false" customWidth="true" hidden="false" outlineLevel="0" max="9991" min="9989" style="2" width="12"/>
    <col collapsed="false" customWidth="true" hidden="false" outlineLevel="0" max="9993" min="9992" style="2" width="13.11"/>
    <col collapsed="false" customWidth="true" hidden="false" outlineLevel="0" max="9994" min="9994" style="2" width="14.88"/>
    <col collapsed="false" customWidth="false" hidden="false" outlineLevel="0" max="10238" min="9995" style="2" width="9.11"/>
    <col collapsed="false" customWidth="true" hidden="false" outlineLevel="0" max="10239" min="10239" style="2" width="2.44"/>
    <col collapsed="false" customWidth="true" hidden="false" outlineLevel="0" max="10240" min="10240" style="2" width="37.56"/>
    <col collapsed="false" customWidth="true" hidden="false" outlineLevel="0" max="10244" min="10241" style="2" width="11.67"/>
    <col collapsed="false" customWidth="true" hidden="false" outlineLevel="0" max="10247" min="10245" style="2" width="12"/>
    <col collapsed="false" customWidth="true" hidden="false" outlineLevel="0" max="10249" min="10248" style="2" width="13.11"/>
    <col collapsed="false" customWidth="true" hidden="false" outlineLevel="0" max="10250" min="10250" style="2" width="14.88"/>
    <col collapsed="false" customWidth="false" hidden="false" outlineLevel="0" max="10494" min="10251" style="2" width="9.11"/>
    <col collapsed="false" customWidth="true" hidden="false" outlineLevel="0" max="10495" min="10495" style="2" width="2.44"/>
    <col collapsed="false" customWidth="true" hidden="false" outlineLevel="0" max="10496" min="10496" style="2" width="37.56"/>
    <col collapsed="false" customWidth="true" hidden="false" outlineLevel="0" max="10500" min="10497" style="2" width="11.67"/>
    <col collapsed="false" customWidth="true" hidden="false" outlineLevel="0" max="10503" min="10501" style="2" width="12"/>
    <col collapsed="false" customWidth="true" hidden="false" outlineLevel="0" max="10505" min="10504" style="2" width="13.11"/>
    <col collapsed="false" customWidth="true" hidden="false" outlineLevel="0" max="10506" min="10506" style="2" width="14.88"/>
    <col collapsed="false" customWidth="false" hidden="false" outlineLevel="0" max="10750" min="10507" style="2" width="9.11"/>
    <col collapsed="false" customWidth="true" hidden="false" outlineLevel="0" max="10751" min="10751" style="2" width="2.44"/>
    <col collapsed="false" customWidth="true" hidden="false" outlineLevel="0" max="10752" min="10752" style="2" width="37.56"/>
    <col collapsed="false" customWidth="true" hidden="false" outlineLevel="0" max="10756" min="10753" style="2" width="11.67"/>
    <col collapsed="false" customWidth="true" hidden="false" outlineLevel="0" max="10759" min="10757" style="2" width="12"/>
    <col collapsed="false" customWidth="true" hidden="false" outlineLevel="0" max="10761" min="10760" style="2" width="13.11"/>
    <col collapsed="false" customWidth="true" hidden="false" outlineLevel="0" max="10762" min="10762" style="2" width="14.88"/>
    <col collapsed="false" customWidth="false" hidden="false" outlineLevel="0" max="11006" min="10763" style="2" width="9.11"/>
    <col collapsed="false" customWidth="true" hidden="false" outlineLevel="0" max="11007" min="11007" style="2" width="2.44"/>
    <col collapsed="false" customWidth="true" hidden="false" outlineLevel="0" max="11008" min="11008" style="2" width="37.56"/>
    <col collapsed="false" customWidth="true" hidden="false" outlineLevel="0" max="11012" min="11009" style="2" width="11.67"/>
    <col collapsed="false" customWidth="true" hidden="false" outlineLevel="0" max="11015" min="11013" style="2" width="12"/>
    <col collapsed="false" customWidth="true" hidden="false" outlineLevel="0" max="11017" min="11016" style="2" width="13.11"/>
    <col collapsed="false" customWidth="true" hidden="false" outlineLevel="0" max="11018" min="11018" style="2" width="14.88"/>
    <col collapsed="false" customWidth="false" hidden="false" outlineLevel="0" max="11262" min="11019" style="2" width="9.11"/>
    <col collapsed="false" customWidth="true" hidden="false" outlineLevel="0" max="11263" min="11263" style="2" width="2.44"/>
    <col collapsed="false" customWidth="true" hidden="false" outlineLevel="0" max="11264" min="11264" style="2" width="37.56"/>
    <col collapsed="false" customWidth="true" hidden="false" outlineLevel="0" max="11268" min="11265" style="2" width="11.67"/>
    <col collapsed="false" customWidth="true" hidden="false" outlineLevel="0" max="11271" min="11269" style="2" width="12"/>
    <col collapsed="false" customWidth="true" hidden="false" outlineLevel="0" max="11273" min="11272" style="2" width="13.11"/>
    <col collapsed="false" customWidth="true" hidden="false" outlineLevel="0" max="11274" min="11274" style="2" width="14.88"/>
    <col collapsed="false" customWidth="false" hidden="false" outlineLevel="0" max="11518" min="11275" style="2" width="9.11"/>
    <col collapsed="false" customWidth="true" hidden="false" outlineLevel="0" max="11519" min="11519" style="2" width="2.44"/>
    <col collapsed="false" customWidth="true" hidden="false" outlineLevel="0" max="11520" min="11520" style="2" width="37.56"/>
    <col collapsed="false" customWidth="true" hidden="false" outlineLevel="0" max="11524" min="11521" style="2" width="11.67"/>
    <col collapsed="false" customWidth="true" hidden="false" outlineLevel="0" max="11527" min="11525" style="2" width="12"/>
    <col collapsed="false" customWidth="true" hidden="false" outlineLevel="0" max="11529" min="11528" style="2" width="13.11"/>
    <col collapsed="false" customWidth="true" hidden="false" outlineLevel="0" max="11530" min="11530" style="2" width="14.88"/>
    <col collapsed="false" customWidth="false" hidden="false" outlineLevel="0" max="11774" min="11531" style="2" width="9.11"/>
    <col collapsed="false" customWidth="true" hidden="false" outlineLevel="0" max="11775" min="11775" style="2" width="2.44"/>
    <col collapsed="false" customWidth="true" hidden="false" outlineLevel="0" max="11776" min="11776" style="2" width="37.56"/>
    <col collapsed="false" customWidth="true" hidden="false" outlineLevel="0" max="11780" min="11777" style="2" width="11.67"/>
    <col collapsed="false" customWidth="true" hidden="false" outlineLevel="0" max="11783" min="11781" style="2" width="12"/>
    <col collapsed="false" customWidth="true" hidden="false" outlineLevel="0" max="11785" min="11784" style="2" width="13.11"/>
    <col collapsed="false" customWidth="true" hidden="false" outlineLevel="0" max="11786" min="11786" style="2" width="14.88"/>
    <col collapsed="false" customWidth="false" hidden="false" outlineLevel="0" max="12030" min="11787" style="2" width="9.11"/>
    <col collapsed="false" customWidth="true" hidden="false" outlineLevel="0" max="12031" min="12031" style="2" width="2.44"/>
    <col collapsed="false" customWidth="true" hidden="false" outlineLevel="0" max="12032" min="12032" style="2" width="37.56"/>
    <col collapsed="false" customWidth="true" hidden="false" outlineLevel="0" max="12036" min="12033" style="2" width="11.67"/>
    <col collapsed="false" customWidth="true" hidden="false" outlineLevel="0" max="12039" min="12037" style="2" width="12"/>
    <col collapsed="false" customWidth="true" hidden="false" outlineLevel="0" max="12041" min="12040" style="2" width="13.11"/>
    <col collapsed="false" customWidth="true" hidden="false" outlineLevel="0" max="12042" min="12042" style="2" width="14.88"/>
    <col collapsed="false" customWidth="false" hidden="false" outlineLevel="0" max="12286" min="12043" style="2" width="9.11"/>
    <col collapsed="false" customWidth="true" hidden="false" outlineLevel="0" max="12287" min="12287" style="2" width="2.44"/>
    <col collapsed="false" customWidth="true" hidden="false" outlineLevel="0" max="12288" min="12288" style="2" width="37.56"/>
    <col collapsed="false" customWidth="true" hidden="false" outlineLevel="0" max="12292" min="12289" style="2" width="11.67"/>
    <col collapsed="false" customWidth="true" hidden="false" outlineLevel="0" max="12295" min="12293" style="2" width="12"/>
    <col collapsed="false" customWidth="true" hidden="false" outlineLevel="0" max="12297" min="12296" style="2" width="13.11"/>
    <col collapsed="false" customWidth="true" hidden="false" outlineLevel="0" max="12298" min="12298" style="2" width="14.88"/>
    <col collapsed="false" customWidth="false" hidden="false" outlineLevel="0" max="12542" min="12299" style="2" width="9.11"/>
    <col collapsed="false" customWidth="true" hidden="false" outlineLevel="0" max="12543" min="12543" style="2" width="2.44"/>
    <col collapsed="false" customWidth="true" hidden="false" outlineLevel="0" max="12544" min="12544" style="2" width="37.56"/>
    <col collapsed="false" customWidth="true" hidden="false" outlineLevel="0" max="12548" min="12545" style="2" width="11.67"/>
    <col collapsed="false" customWidth="true" hidden="false" outlineLevel="0" max="12551" min="12549" style="2" width="12"/>
    <col collapsed="false" customWidth="true" hidden="false" outlineLevel="0" max="12553" min="12552" style="2" width="13.11"/>
    <col collapsed="false" customWidth="true" hidden="false" outlineLevel="0" max="12554" min="12554" style="2" width="14.88"/>
    <col collapsed="false" customWidth="false" hidden="false" outlineLevel="0" max="12798" min="12555" style="2" width="9.11"/>
    <col collapsed="false" customWidth="true" hidden="false" outlineLevel="0" max="12799" min="12799" style="2" width="2.44"/>
    <col collapsed="false" customWidth="true" hidden="false" outlineLevel="0" max="12800" min="12800" style="2" width="37.56"/>
    <col collapsed="false" customWidth="true" hidden="false" outlineLevel="0" max="12804" min="12801" style="2" width="11.67"/>
    <col collapsed="false" customWidth="true" hidden="false" outlineLevel="0" max="12807" min="12805" style="2" width="12"/>
    <col collapsed="false" customWidth="true" hidden="false" outlineLevel="0" max="12809" min="12808" style="2" width="13.11"/>
    <col collapsed="false" customWidth="true" hidden="false" outlineLevel="0" max="12810" min="12810" style="2" width="14.88"/>
    <col collapsed="false" customWidth="false" hidden="false" outlineLevel="0" max="13054" min="12811" style="2" width="9.11"/>
    <col collapsed="false" customWidth="true" hidden="false" outlineLevel="0" max="13055" min="13055" style="2" width="2.44"/>
    <col collapsed="false" customWidth="true" hidden="false" outlineLevel="0" max="13056" min="13056" style="2" width="37.56"/>
    <col collapsed="false" customWidth="true" hidden="false" outlineLevel="0" max="13060" min="13057" style="2" width="11.67"/>
    <col collapsed="false" customWidth="true" hidden="false" outlineLevel="0" max="13063" min="13061" style="2" width="12"/>
    <col collapsed="false" customWidth="true" hidden="false" outlineLevel="0" max="13065" min="13064" style="2" width="13.11"/>
    <col collapsed="false" customWidth="true" hidden="false" outlineLevel="0" max="13066" min="13066" style="2" width="14.88"/>
    <col collapsed="false" customWidth="false" hidden="false" outlineLevel="0" max="13310" min="13067" style="2" width="9.11"/>
    <col collapsed="false" customWidth="true" hidden="false" outlineLevel="0" max="13311" min="13311" style="2" width="2.44"/>
    <col collapsed="false" customWidth="true" hidden="false" outlineLevel="0" max="13312" min="13312" style="2" width="37.56"/>
    <col collapsed="false" customWidth="true" hidden="false" outlineLevel="0" max="13316" min="13313" style="2" width="11.67"/>
    <col collapsed="false" customWidth="true" hidden="false" outlineLevel="0" max="13319" min="13317" style="2" width="12"/>
    <col collapsed="false" customWidth="true" hidden="false" outlineLevel="0" max="13321" min="13320" style="2" width="13.11"/>
    <col collapsed="false" customWidth="true" hidden="false" outlineLevel="0" max="13322" min="13322" style="2" width="14.88"/>
    <col collapsed="false" customWidth="false" hidden="false" outlineLevel="0" max="13566" min="13323" style="2" width="9.11"/>
    <col collapsed="false" customWidth="true" hidden="false" outlineLevel="0" max="13567" min="13567" style="2" width="2.44"/>
    <col collapsed="false" customWidth="true" hidden="false" outlineLevel="0" max="13568" min="13568" style="2" width="37.56"/>
    <col collapsed="false" customWidth="true" hidden="false" outlineLevel="0" max="13572" min="13569" style="2" width="11.67"/>
    <col collapsed="false" customWidth="true" hidden="false" outlineLevel="0" max="13575" min="13573" style="2" width="12"/>
    <col collapsed="false" customWidth="true" hidden="false" outlineLevel="0" max="13577" min="13576" style="2" width="13.11"/>
    <col collapsed="false" customWidth="true" hidden="false" outlineLevel="0" max="13578" min="13578" style="2" width="14.88"/>
    <col collapsed="false" customWidth="false" hidden="false" outlineLevel="0" max="13822" min="13579" style="2" width="9.11"/>
    <col collapsed="false" customWidth="true" hidden="false" outlineLevel="0" max="13823" min="13823" style="2" width="2.44"/>
    <col collapsed="false" customWidth="true" hidden="false" outlineLevel="0" max="13824" min="13824" style="2" width="37.56"/>
    <col collapsed="false" customWidth="true" hidden="false" outlineLevel="0" max="13828" min="13825" style="2" width="11.67"/>
    <col collapsed="false" customWidth="true" hidden="false" outlineLevel="0" max="13831" min="13829" style="2" width="12"/>
    <col collapsed="false" customWidth="true" hidden="false" outlineLevel="0" max="13833" min="13832" style="2" width="13.11"/>
    <col collapsed="false" customWidth="true" hidden="false" outlineLevel="0" max="13834" min="13834" style="2" width="14.88"/>
    <col collapsed="false" customWidth="false" hidden="false" outlineLevel="0" max="14078" min="13835" style="2" width="9.11"/>
    <col collapsed="false" customWidth="true" hidden="false" outlineLevel="0" max="14079" min="14079" style="2" width="2.44"/>
    <col collapsed="false" customWidth="true" hidden="false" outlineLevel="0" max="14080" min="14080" style="2" width="37.56"/>
    <col collapsed="false" customWidth="true" hidden="false" outlineLevel="0" max="14084" min="14081" style="2" width="11.67"/>
    <col collapsed="false" customWidth="true" hidden="false" outlineLevel="0" max="14087" min="14085" style="2" width="12"/>
    <col collapsed="false" customWidth="true" hidden="false" outlineLevel="0" max="14089" min="14088" style="2" width="13.11"/>
    <col collapsed="false" customWidth="true" hidden="false" outlineLevel="0" max="14090" min="14090" style="2" width="14.88"/>
    <col collapsed="false" customWidth="false" hidden="false" outlineLevel="0" max="14334" min="14091" style="2" width="9.11"/>
    <col collapsed="false" customWidth="true" hidden="false" outlineLevel="0" max="14335" min="14335" style="2" width="2.44"/>
    <col collapsed="false" customWidth="true" hidden="false" outlineLevel="0" max="14336" min="14336" style="2" width="37.56"/>
    <col collapsed="false" customWidth="true" hidden="false" outlineLevel="0" max="14340" min="14337" style="2" width="11.67"/>
    <col collapsed="false" customWidth="true" hidden="false" outlineLevel="0" max="14343" min="14341" style="2" width="12"/>
    <col collapsed="false" customWidth="true" hidden="false" outlineLevel="0" max="14345" min="14344" style="2" width="13.11"/>
    <col collapsed="false" customWidth="true" hidden="false" outlineLevel="0" max="14346" min="14346" style="2" width="14.88"/>
    <col collapsed="false" customWidth="false" hidden="false" outlineLevel="0" max="14590" min="14347" style="2" width="9.11"/>
    <col collapsed="false" customWidth="true" hidden="false" outlineLevel="0" max="14591" min="14591" style="2" width="2.44"/>
    <col collapsed="false" customWidth="true" hidden="false" outlineLevel="0" max="14592" min="14592" style="2" width="37.56"/>
    <col collapsed="false" customWidth="true" hidden="false" outlineLevel="0" max="14596" min="14593" style="2" width="11.67"/>
    <col collapsed="false" customWidth="true" hidden="false" outlineLevel="0" max="14599" min="14597" style="2" width="12"/>
    <col collapsed="false" customWidth="true" hidden="false" outlineLevel="0" max="14601" min="14600" style="2" width="13.11"/>
    <col collapsed="false" customWidth="true" hidden="false" outlineLevel="0" max="14602" min="14602" style="2" width="14.88"/>
    <col collapsed="false" customWidth="false" hidden="false" outlineLevel="0" max="14846" min="14603" style="2" width="9.11"/>
    <col collapsed="false" customWidth="true" hidden="false" outlineLevel="0" max="14847" min="14847" style="2" width="2.44"/>
    <col collapsed="false" customWidth="true" hidden="false" outlineLevel="0" max="14848" min="14848" style="2" width="37.56"/>
    <col collapsed="false" customWidth="true" hidden="false" outlineLevel="0" max="14852" min="14849" style="2" width="11.67"/>
    <col collapsed="false" customWidth="true" hidden="false" outlineLevel="0" max="14855" min="14853" style="2" width="12"/>
    <col collapsed="false" customWidth="true" hidden="false" outlineLevel="0" max="14857" min="14856" style="2" width="13.11"/>
    <col collapsed="false" customWidth="true" hidden="false" outlineLevel="0" max="14858" min="14858" style="2" width="14.88"/>
    <col collapsed="false" customWidth="false" hidden="false" outlineLevel="0" max="15102" min="14859" style="2" width="9.11"/>
    <col collapsed="false" customWidth="true" hidden="false" outlineLevel="0" max="15103" min="15103" style="2" width="2.44"/>
    <col collapsed="false" customWidth="true" hidden="false" outlineLevel="0" max="15104" min="15104" style="2" width="37.56"/>
    <col collapsed="false" customWidth="true" hidden="false" outlineLevel="0" max="15108" min="15105" style="2" width="11.67"/>
    <col collapsed="false" customWidth="true" hidden="false" outlineLevel="0" max="15111" min="15109" style="2" width="12"/>
    <col collapsed="false" customWidth="true" hidden="false" outlineLevel="0" max="15113" min="15112" style="2" width="13.11"/>
    <col collapsed="false" customWidth="true" hidden="false" outlineLevel="0" max="15114" min="15114" style="2" width="14.88"/>
    <col collapsed="false" customWidth="false" hidden="false" outlineLevel="0" max="15358" min="15115" style="2" width="9.11"/>
    <col collapsed="false" customWidth="true" hidden="false" outlineLevel="0" max="15359" min="15359" style="2" width="2.44"/>
    <col collapsed="false" customWidth="true" hidden="false" outlineLevel="0" max="15360" min="15360" style="2" width="37.56"/>
    <col collapsed="false" customWidth="true" hidden="false" outlineLevel="0" max="15364" min="15361" style="2" width="11.67"/>
    <col collapsed="false" customWidth="true" hidden="false" outlineLevel="0" max="15367" min="15365" style="2" width="12"/>
    <col collapsed="false" customWidth="true" hidden="false" outlineLevel="0" max="15369" min="15368" style="2" width="13.11"/>
    <col collapsed="false" customWidth="true" hidden="false" outlineLevel="0" max="15370" min="15370" style="2" width="14.88"/>
    <col collapsed="false" customWidth="false" hidden="false" outlineLevel="0" max="15614" min="15371" style="2" width="9.11"/>
    <col collapsed="false" customWidth="true" hidden="false" outlineLevel="0" max="15615" min="15615" style="2" width="2.44"/>
    <col collapsed="false" customWidth="true" hidden="false" outlineLevel="0" max="15616" min="15616" style="2" width="37.56"/>
    <col collapsed="false" customWidth="true" hidden="false" outlineLevel="0" max="15620" min="15617" style="2" width="11.67"/>
    <col collapsed="false" customWidth="true" hidden="false" outlineLevel="0" max="15623" min="15621" style="2" width="12"/>
    <col collapsed="false" customWidth="true" hidden="false" outlineLevel="0" max="15625" min="15624" style="2" width="13.11"/>
    <col collapsed="false" customWidth="true" hidden="false" outlineLevel="0" max="15626" min="15626" style="2" width="14.88"/>
    <col collapsed="false" customWidth="false" hidden="false" outlineLevel="0" max="15870" min="15627" style="2" width="9.11"/>
    <col collapsed="false" customWidth="true" hidden="false" outlineLevel="0" max="15871" min="15871" style="2" width="2.44"/>
    <col collapsed="false" customWidth="true" hidden="false" outlineLevel="0" max="15872" min="15872" style="2" width="37.56"/>
    <col collapsed="false" customWidth="true" hidden="false" outlineLevel="0" max="15876" min="15873" style="2" width="11.67"/>
    <col collapsed="false" customWidth="true" hidden="false" outlineLevel="0" max="15879" min="15877" style="2" width="12"/>
    <col collapsed="false" customWidth="true" hidden="false" outlineLevel="0" max="15881" min="15880" style="2" width="13.11"/>
    <col collapsed="false" customWidth="true" hidden="false" outlineLevel="0" max="15882" min="15882" style="2" width="14.88"/>
    <col collapsed="false" customWidth="false" hidden="false" outlineLevel="0" max="16126" min="15883" style="2" width="9.11"/>
    <col collapsed="false" customWidth="true" hidden="false" outlineLevel="0" max="16127" min="16127" style="2" width="2.44"/>
    <col collapsed="false" customWidth="true" hidden="false" outlineLevel="0" max="16128" min="16128" style="2" width="37.56"/>
    <col collapsed="false" customWidth="true" hidden="false" outlineLevel="0" max="16132" min="16129" style="2" width="11.67"/>
    <col collapsed="false" customWidth="true" hidden="false" outlineLevel="0" max="16135" min="16133" style="2" width="12"/>
    <col collapsed="false" customWidth="true" hidden="false" outlineLevel="0" max="16137" min="16136" style="2" width="13.11"/>
    <col collapsed="false" customWidth="true" hidden="false" outlineLevel="0" max="16138" min="16138" style="2" width="14.88"/>
    <col collapsed="false" customWidth="false" hidden="false" outlineLevel="0" max="16384" min="16139" style="2" width="9.11"/>
  </cols>
  <sheetData>
    <row r="1" customFormat="false" ht="21.75" hidden="false" customHeight="true" outlineLevel="0" collapsed="false">
      <c r="A1" s="3" t="s">
        <v>0</v>
      </c>
    </row>
    <row r="2" s="2" customFormat="true" ht="18" hidden="false" customHeight="true" outlineLevel="0" collapsed="false">
      <c r="B2" s="4" t="s">
        <v>1</v>
      </c>
      <c r="C2" s="5"/>
      <c r="D2" s="5"/>
      <c r="E2" s="5"/>
      <c r="F2" s="5"/>
      <c r="G2" s="5"/>
      <c r="H2" s="5"/>
      <c r="I2" s="5"/>
      <c r="J2" s="5"/>
      <c r="M2" s="6" t="s">
        <v>2</v>
      </c>
    </row>
    <row r="3" s="2" customFormat="true" ht="13.5" hidden="false" customHeight="true" outlineLevel="0" collapsed="false"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  <c r="M3" s="7"/>
      <c r="N3" s="10" t="s">
        <v>3</v>
      </c>
      <c r="O3" s="10"/>
      <c r="P3" s="10"/>
      <c r="Q3" s="10" t="s">
        <v>4</v>
      </c>
      <c r="R3" s="10"/>
      <c r="S3" s="10"/>
      <c r="T3" s="10"/>
      <c r="U3" s="10"/>
    </row>
    <row r="4" s="2" customFormat="true" ht="13.5" hidden="false" customHeight="true" outlineLevel="0" collapsed="false">
      <c r="B4" s="11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  <c r="M4" s="11" t="s">
        <v>5</v>
      </c>
      <c r="N4" s="15" t="s">
        <v>6</v>
      </c>
      <c r="O4" s="15" t="s">
        <v>7</v>
      </c>
      <c r="P4" s="16" t="s">
        <v>8</v>
      </c>
      <c r="Q4" s="15" t="s">
        <v>9</v>
      </c>
      <c r="R4" s="15" t="s">
        <v>10</v>
      </c>
      <c r="S4" s="15" t="s">
        <v>11</v>
      </c>
      <c r="T4" s="15" t="s">
        <v>12</v>
      </c>
      <c r="U4" s="15" t="s">
        <v>13</v>
      </c>
    </row>
    <row r="5" customFormat="false" ht="13.5" hidden="false" customHeight="true" outlineLevel="0" collapsed="false">
      <c r="B5" s="2" t="s">
        <v>14</v>
      </c>
      <c r="C5" s="17" t="n">
        <f aca="false">'Income Statement'!C5</f>
        <v>2904.94</v>
      </c>
      <c r="D5" s="17" t="n">
        <f aca="false">'Income Statement'!D5</f>
        <v>3408.0000038</v>
      </c>
      <c r="E5" s="17" t="n">
        <f aca="false">'Income Statement'!E5</f>
        <v>3958.95999668</v>
      </c>
      <c r="F5" s="18" t="n">
        <f aca="false">'Income Statement'!F5</f>
        <v>4119.9659956536</v>
      </c>
      <c r="G5" s="18" t="n">
        <f aca="false">'Income Statement'!G5</f>
        <v>4803.77179223414</v>
      </c>
      <c r="H5" s="18" t="n">
        <f aca="false">'Income Statement'!H5</f>
        <v>5602.87727740396</v>
      </c>
      <c r="I5" s="18" t="n">
        <f aca="false">'Income Statement'!I5</f>
        <v>6536.93866552714</v>
      </c>
      <c r="J5" s="18" t="n">
        <f aca="false">'Income Statement'!J5</f>
        <v>7628.98839012488</v>
      </c>
      <c r="M5" s="19" t="s">
        <v>15</v>
      </c>
      <c r="P5" s="20"/>
    </row>
    <row r="6" customFormat="false" ht="13.5" hidden="false" customHeight="true" outlineLevel="0" collapsed="false">
      <c r="B6" s="2" t="s">
        <v>16</v>
      </c>
      <c r="C6" s="21" t="n">
        <f aca="false">'Income Statement'!C6</f>
        <v>1494.8366264</v>
      </c>
      <c r="D6" s="21" t="n">
        <f aca="false">'Income Statement'!D6</f>
        <v>1866.124604653</v>
      </c>
      <c r="E6" s="21" t="n">
        <f aca="false">'Income Statement'!E6</f>
        <v>2309.7271735372</v>
      </c>
      <c r="F6" s="22" t="n">
        <f aca="false">'Income Statement'!F6</f>
        <v>2502.24462975324</v>
      </c>
      <c r="G6" s="23" t="n">
        <f aca="false">'Income Statement'!G6</f>
        <v>2916.61453009697</v>
      </c>
      <c r="H6" s="23" t="n">
        <f aca="false">'Income Statement'!H6</f>
        <v>3400.77400280368</v>
      </c>
      <c r="I6" s="23" t="n">
        <f aca="false">'Income Statement'!I6</f>
        <v>3966.61706890769</v>
      </c>
      <c r="J6" s="23" t="n">
        <f aca="false">'Income Statement'!J6</f>
        <v>4628.08126864108</v>
      </c>
      <c r="L6" s="24"/>
      <c r="M6" s="2" t="s">
        <v>17</v>
      </c>
      <c r="N6" s="25"/>
      <c r="O6" s="26" t="n">
        <f aca="false">'Cash Flow Statement'!D6</f>
        <v>754.108342297617</v>
      </c>
      <c r="P6" s="27" t="n">
        <f aca="false">'Cash Flow Statement'!E6</f>
        <v>740.304924847987</v>
      </c>
      <c r="Q6" s="28" t="n">
        <f aca="false">'Cash Flow Statement'!F6</f>
        <v>695.995872061528</v>
      </c>
      <c r="R6" s="28" t="n">
        <f aca="false">'Cash Flow Statement'!G6</f>
        <v>829.820639654179</v>
      </c>
      <c r="S6" s="28" t="n">
        <f aca="false">'Cash Flow Statement'!H6</f>
        <v>988.818883040874</v>
      </c>
      <c r="T6" s="28" t="n">
        <f aca="false">'Cash Flow Statement'!I6</f>
        <v>1173.33149775202</v>
      </c>
      <c r="U6" s="28" t="n">
        <f aca="false">'Cash Flow Statement'!J6</f>
        <v>1387.8811966404</v>
      </c>
    </row>
    <row r="7" customFormat="false" ht="13.5" hidden="false" customHeight="true" outlineLevel="0" collapsed="false">
      <c r="B7" s="29" t="s">
        <v>18</v>
      </c>
      <c r="C7" s="30" t="n">
        <f aca="false">'Income Statement'!C7</f>
        <v>1410.1033736</v>
      </c>
      <c r="D7" s="30" t="n">
        <f aca="false">'Income Statement'!D7</f>
        <v>1541.875399147</v>
      </c>
      <c r="E7" s="31" t="n">
        <f aca="false">'Income Statement'!E7</f>
        <v>1649.2328231428</v>
      </c>
      <c r="F7" s="32" t="n">
        <f aca="false">'Income Statement'!F7</f>
        <v>1617.72136590036</v>
      </c>
      <c r="G7" s="32" t="n">
        <f aca="false">'Income Statement'!G7</f>
        <v>1887.15726213717</v>
      </c>
      <c r="H7" s="32" t="n">
        <f aca="false">'Income Statement'!H7</f>
        <v>2202.10327460028</v>
      </c>
      <c r="I7" s="32" t="n">
        <f aca="false">'Income Statement'!I7</f>
        <v>2570.32159661946</v>
      </c>
      <c r="J7" s="32" t="n">
        <f aca="false">'Income Statement'!J7</f>
        <v>3000.90712148379</v>
      </c>
      <c r="M7" s="2" t="s">
        <v>19</v>
      </c>
      <c r="N7" s="25"/>
      <c r="O7" s="26" t="n">
        <f aca="false">'Cash Flow Statement'!D7</f>
        <v>123.1</v>
      </c>
      <c r="P7" s="27" t="n">
        <f aca="false">'Cash Flow Statement'!E7</f>
        <v>140</v>
      </c>
      <c r="Q7" s="28" t="n">
        <f aca="false">'Cash Flow Statement'!F7</f>
        <v>151.533134974646</v>
      </c>
      <c r="R7" s="28" t="n">
        <f aca="false">'Cash Flow Statement'!G7</f>
        <v>179.555137096012</v>
      </c>
      <c r="S7" s="28" t="n">
        <f aca="false">'Cash Flow Statement'!H7</f>
        <v>212.238587880868</v>
      </c>
      <c r="T7" s="28" t="n">
        <f aca="false">'Cash Flow Statement'!I7</f>
        <v>250.370730096443</v>
      </c>
      <c r="U7" s="28" t="n">
        <f aca="false">'Cash Flow Statement'!J7</f>
        <v>294.873162372172</v>
      </c>
    </row>
    <row r="8" customFormat="false" ht="13.5" hidden="false" customHeight="true" outlineLevel="0" collapsed="false">
      <c r="E8" s="20"/>
      <c r="M8" s="2" t="s">
        <v>20</v>
      </c>
      <c r="N8" s="25"/>
      <c r="O8" s="26" t="n">
        <f aca="false">'Cash Flow Statement'!D8</f>
        <v>10.666</v>
      </c>
      <c r="P8" s="27" t="n">
        <f aca="false">'Cash Flow Statement'!E8</f>
        <v>13.035</v>
      </c>
      <c r="Q8" s="28" t="n">
        <f aca="false">'Cash Flow Statement'!F8</f>
        <v>13.2959727965229</v>
      </c>
      <c r="R8" s="28" t="n">
        <f aca="false">'Cash Flow Statement'!G8</f>
        <v>17.1389902303102</v>
      </c>
      <c r="S8" s="28" t="n">
        <f aca="false">'Cash Flow Statement'!H8</f>
        <v>21.6212920522334</v>
      </c>
      <c r="T8" s="28" t="n">
        <f aca="false">'Cash Flow Statement'!I8</f>
        <v>26.8508429846551</v>
      </c>
      <c r="U8" s="28" t="n">
        <f aca="false">'Cash Flow Statement'!J8</f>
        <v>32.954033696755</v>
      </c>
    </row>
    <row r="9" customFormat="false" ht="13.5" hidden="false" customHeight="true" outlineLevel="0" collapsed="false">
      <c r="B9" s="2" t="s">
        <v>21</v>
      </c>
      <c r="C9" s="21" t="n">
        <f aca="false">'Income Statement'!C9</f>
        <v>305.14255</v>
      </c>
      <c r="D9" s="21" t="n">
        <f aca="false">'Income Statement'!D9</f>
        <v>388.2872</v>
      </c>
      <c r="E9" s="21" t="n">
        <f aca="false">'Income Statement'!E9</f>
        <v>448.0675</v>
      </c>
      <c r="F9" s="33" t="n">
        <f aca="false">'Income Statement'!F9</f>
        <v>463.838682033096</v>
      </c>
      <c r="G9" s="33" t="n">
        <f aca="false">'Income Statement'!G9</f>
        <v>540.941028441438</v>
      </c>
      <c r="H9" s="33" t="n">
        <f aca="false">'Income Statement'!H9</f>
        <v>631.059757049454</v>
      </c>
      <c r="I9" s="33" t="n">
        <f aca="false">'Income Statement'!I9</f>
        <v>736.416066149702</v>
      </c>
      <c r="J9" s="33" t="n">
        <f aca="false">'Income Statement'!J9</f>
        <v>859.612983746137</v>
      </c>
      <c r="M9" s="2" t="s">
        <v>22</v>
      </c>
      <c r="N9" s="25"/>
      <c r="O9" s="26" t="n">
        <f aca="false">'Cash Flow Statement'!D9</f>
        <v>0</v>
      </c>
      <c r="P9" s="27" t="n">
        <f aca="false">'Cash Flow Statement'!E9</f>
        <v>0</v>
      </c>
      <c r="Q9" s="28" t="n">
        <f aca="false">'Cash Flow Statement'!F9</f>
        <v>0</v>
      </c>
      <c r="R9" s="28" t="n">
        <f aca="false">'Cash Flow Statement'!G9</f>
        <v>0</v>
      </c>
      <c r="S9" s="28" t="n">
        <f aca="false">'Cash Flow Statement'!H9</f>
        <v>0</v>
      </c>
      <c r="T9" s="28" t="n">
        <f aca="false">'Cash Flow Statement'!I9</f>
        <v>0</v>
      </c>
      <c r="U9" s="28" t="n">
        <f aca="false">'Cash Flow Statement'!J9</f>
        <v>0</v>
      </c>
    </row>
    <row r="10" customFormat="false" ht="13.5" hidden="false" customHeight="true" outlineLevel="0" collapsed="false">
      <c r="B10" s="34" t="s">
        <v>23</v>
      </c>
      <c r="C10" s="35" t="n">
        <f aca="false">'Income Statement'!C10</f>
        <v>1104.9608236</v>
      </c>
      <c r="D10" s="35" t="n">
        <f aca="false">'Income Statement'!D10</f>
        <v>1153.588199147</v>
      </c>
      <c r="E10" s="31" t="n">
        <f aca="false">'Income Statement'!E10</f>
        <v>1201.1653231428</v>
      </c>
      <c r="F10" s="36" t="n">
        <f aca="false">'Income Statement'!F10</f>
        <v>1153.88268386726</v>
      </c>
      <c r="G10" s="36" t="n">
        <f aca="false">'Income Statement'!G10</f>
        <v>1346.21623369573</v>
      </c>
      <c r="H10" s="36" t="n">
        <f aca="false">'Income Statement'!H10</f>
        <v>1571.04351755083</v>
      </c>
      <c r="I10" s="36" t="n">
        <f aca="false">'Income Statement'!I10</f>
        <v>1833.90553046975</v>
      </c>
      <c r="J10" s="36" t="n">
        <f aca="false">'Income Statement'!J10</f>
        <v>2141.29413773766</v>
      </c>
      <c r="M10" s="2" t="s">
        <v>24</v>
      </c>
      <c r="N10" s="25"/>
      <c r="O10" s="26" t="n">
        <f aca="false">'Cash Flow Statement'!D16</f>
        <v>-14</v>
      </c>
      <c r="P10" s="27" t="n">
        <f aca="false">'Cash Flow Statement'!E16</f>
        <v>36</v>
      </c>
      <c r="Q10" s="28" t="n">
        <f aca="false">'Cash Flow Statement'!F16</f>
        <v>0</v>
      </c>
      <c r="R10" s="28" t="n">
        <f aca="false">'Cash Flow Statement'!G16</f>
        <v>0</v>
      </c>
      <c r="S10" s="28" t="n">
        <f aca="false">'Cash Flow Statement'!H16</f>
        <v>0</v>
      </c>
      <c r="T10" s="28" t="n">
        <f aca="false">'Cash Flow Statement'!I16</f>
        <v>0</v>
      </c>
      <c r="U10" s="28" t="n">
        <f aca="false">'Cash Flow Statement'!J16</f>
        <v>0</v>
      </c>
    </row>
    <row r="11" customFormat="false" ht="13.5" hidden="false" customHeight="true" outlineLevel="0" collapsed="false">
      <c r="E11" s="20"/>
      <c r="F11" s="37"/>
      <c r="G11" s="37"/>
      <c r="H11" s="37"/>
      <c r="I11" s="37"/>
      <c r="J11" s="37"/>
      <c r="M11" s="38" t="s">
        <v>25</v>
      </c>
      <c r="N11" s="39"/>
      <c r="O11" s="40" t="n">
        <f aca="false">'Cash Flow Statement'!D17</f>
        <v>834.574342297617</v>
      </c>
      <c r="P11" s="41" t="n">
        <f aca="false">'Cash Flow Statement'!E17</f>
        <v>987.839924847987</v>
      </c>
      <c r="Q11" s="42" t="n">
        <f aca="false">'Cash Flow Statement'!F17</f>
        <v>891.973542303577</v>
      </c>
      <c r="R11" s="42" t="n">
        <f aca="false">'Cash Flow Statement'!G17</f>
        <v>964.777786954067</v>
      </c>
      <c r="S11" s="42" t="n">
        <f aca="false">'Cash Flow Statement'!H17</f>
        <v>1150.52616395313</v>
      </c>
      <c r="T11" s="42" t="n">
        <f aca="false">'Cash Flow Statement'!I17</f>
        <v>1366.20893459663</v>
      </c>
      <c r="U11" s="42" t="n">
        <f aca="false">'Cash Flow Statement'!J17</f>
        <v>1617.09180466862</v>
      </c>
    </row>
    <row r="12" customFormat="false" ht="13.5" hidden="false" customHeight="true" outlineLevel="0" collapsed="false">
      <c r="B12" s="2" t="s">
        <v>19</v>
      </c>
      <c r="C12" s="43" t="n">
        <f aca="false">'Income Statement'!C12</f>
        <v>101.9</v>
      </c>
      <c r="D12" s="43" t="n">
        <f aca="false">'Income Statement'!D12</f>
        <v>123.1</v>
      </c>
      <c r="E12" s="43" t="n">
        <f aca="false">'Income Statement'!E12</f>
        <v>140</v>
      </c>
      <c r="F12" s="44" t="n">
        <f aca="false">'Income Statement'!F12</f>
        <v>151.533134974646</v>
      </c>
      <c r="G12" s="44" t="n">
        <f aca="false">'Income Statement'!G12</f>
        <v>179.555137096012</v>
      </c>
      <c r="H12" s="44" t="n">
        <f aca="false">'Income Statement'!H12</f>
        <v>212.238587880868</v>
      </c>
      <c r="I12" s="44" t="n">
        <f aca="false">'Income Statement'!I12</f>
        <v>250.370730096443</v>
      </c>
      <c r="J12" s="44" t="n">
        <f aca="false">'Income Statement'!J12</f>
        <v>294.873162372172</v>
      </c>
      <c r="N12" s="25"/>
      <c r="O12" s="45" t="n">
        <f aca="false">'Cash Flow Statement'!D18</f>
        <v>0</v>
      </c>
      <c r="P12" s="46" t="n">
        <f aca="false">'Cash Flow Statement'!E18</f>
        <v>0</v>
      </c>
      <c r="Q12" s="47" t="n">
        <f aca="false">'Cash Flow Statement'!F18</f>
        <v>0</v>
      </c>
      <c r="R12" s="47" t="n">
        <f aca="false">'Cash Flow Statement'!G18</f>
        <v>0</v>
      </c>
      <c r="S12" s="47" t="n">
        <f aca="false">'Cash Flow Statement'!H18</f>
        <v>0</v>
      </c>
      <c r="T12" s="47" t="n">
        <f aca="false">'Cash Flow Statement'!I18</f>
        <v>0</v>
      </c>
      <c r="U12" s="47" t="n">
        <f aca="false">'Cash Flow Statement'!J18</f>
        <v>0</v>
      </c>
    </row>
    <row r="13" customFormat="false" ht="13.5" hidden="false" customHeight="true" outlineLevel="0" collapsed="false">
      <c r="B13" s="2" t="s">
        <v>20</v>
      </c>
      <c r="C13" s="21" t="n">
        <f aca="false">'Income Statement'!C13</f>
        <v>9.367</v>
      </c>
      <c r="D13" s="21" t="n">
        <f aca="false">'Income Statement'!D13</f>
        <v>10.666</v>
      </c>
      <c r="E13" s="21" t="n">
        <f aca="false">'Income Statement'!E13</f>
        <v>13.035</v>
      </c>
      <c r="F13" s="48" t="n">
        <f aca="false">'Income Statement'!F13</f>
        <v>13.2959727965229</v>
      </c>
      <c r="G13" s="48" t="n">
        <f aca="false">'Income Statement'!G13</f>
        <v>17.1389902303102</v>
      </c>
      <c r="H13" s="48" t="n">
        <f aca="false">'Income Statement'!H13</f>
        <v>21.6212920522334</v>
      </c>
      <c r="I13" s="48" t="n">
        <f aca="false">'Income Statement'!I13</f>
        <v>26.8508429846551</v>
      </c>
      <c r="J13" s="48" t="n">
        <f aca="false">'Income Statement'!J13</f>
        <v>32.954033696755</v>
      </c>
      <c r="M13" s="19" t="s">
        <v>26</v>
      </c>
      <c r="N13" s="25"/>
      <c r="O13" s="45" t="n">
        <f aca="false">'Cash Flow Statement'!D19</f>
        <v>0</v>
      </c>
      <c r="P13" s="46" t="n">
        <f aca="false">'Cash Flow Statement'!E19</f>
        <v>0</v>
      </c>
      <c r="Q13" s="47" t="n">
        <f aca="false">'Cash Flow Statement'!F19</f>
        <v>0</v>
      </c>
      <c r="R13" s="47" t="n">
        <f aca="false">'Cash Flow Statement'!G19</f>
        <v>0</v>
      </c>
      <c r="S13" s="47" t="n">
        <f aca="false">'Cash Flow Statement'!H19</f>
        <v>0</v>
      </c>
      <c r="T13" s="47" t="n">
        <f aca="false">'Cash Flow Statement'!I19</f>
        <v>0</v>
      </c>
      <c r="U13" s="47" t="n">
        <f aca="false">'Cash Flow Statement'!J19</f>
        <v>0</v>
      </c>
    </row>
    <row r="14" customFormat="false" ht="13.5" hidden="false" customHeight="true" outlineLevel="0" collapsed="false">
      <c r="B14" s="29" t="s">
        <v>27</v>
      </c>
      <c r="C14" s="30" t="n">
        <f aca="false">'Income Statement'!C14</f>
        <v>993.6938236</v>
      </c>
      <c r="D14" s="30" t="n">
        <f aca="false">'Income Statement'!D14</f>
        <v>1019.822199147</v>
      </c>
      <c r="E14" s="31" t="n">
        <f aca="false">'Income Statement'!E14</f>
        <v>1048.1303231428</v>
      </c>
      <c r="F14" s="32" t="n">
        <f aca="false">'Income Statement'!F14</f>
        <v>989.053576096095</v>
      </c>
      <c r="G14" s="32" t="n">
        <f aca="false">'Income Statement'!G14</f>
        <v>1149.52210636941</v>
      </c>
      <c r="H14" s="32" t="n">
        <f aca="false">'Income Statement'!H14</f>
        <v>1337.18363761773</v>
      </c>
      <c r="I14" s="32" t="n">
        <f aca="false">'Income Statement'!I14</f>
        <v>1556.68395738866</v>
      </c>
      <c r="J14" s="32" t="n">
        <f aca="false">'Income Statement'!J14</f>
        <v>1813.46694166873</v>
      </c>
      <c r="M14" s="49" t="s">
        <v>28</v>
      </c>
      <c r="N14" s="25"/>
      <c r="O14" s="45" t="n">
        <f aca="false">'Cash Flow Statement'!D20</f>
        <v>-10</v>
      </c>
      <c r="P14" s="45" t="n">
        <f aca="false">'Cash Flow Statement'!E20</f>
        <v>-10</v>
      </c>
      <c r="Q14" s="47" t="n">
        <f aca="false">'Cash Flow Statement'!F20</f>
        <v>-10</v>
      </c>
      <c r="R14" s="47" t="n">
        <f aca="false">'Cash Flow Statement'!G20</f>
        <v>-10</v>
      </c>
      <c r="S14" s="47" t="n">
        <f aca="false">'Cash Flow Statement'!H20</f>
        <v>-10</v>
      </c>
      <c r="T14" s="47" t="n">
        <f aca="false">'Cash Flow Statement'!I20</f>
        <v>-10</v>
      </c>
      <c r="U14" s="47" t="n">
        <f aca="false">'Cash Flow Statement'!J20</f>
        <v>-10</v>
      </c>
    </row>
    <row r="15" customFormat="false" ht="13.5" hidden="false" customHeight="true" outlineLevel="0" collapsed="false">
      <c r="E15" s="20"/>
      <c r="F15" s="37"/>
      <c r="G15" s="37"/>
      <c r="H15" s="37"/>
      <c r="I15" s="37"/>
      <c r="J15" s="37"/>
      <c r="M15" s="49" t="s">
        <v>29</v>
      </c>
      <c r="N15" s="25"/>
      <c r="O15" s="45" t="n">
        <f aca="false">'Cash Flow Statement'!D21</f>
        <v>-20</v>
      </c>
      <c r="P15" s="45" t="n">
        <f aca="false">'Cash Flow Statement'!E21</f>
        <v>-20</v>
      </c>
      <c r="Q15" s="47" t="n">
        <f aca="false">'Cash Flow Statement'!F21</f>
        <v>-20</v>
      </c>
      <c r="R15" s="47" t="n">
        <f aca="false">'Cash Flow Statement'!G21</f>
        <v>-20</v>
      </c>
      <c r="S15" s="47" t="n">
        <f aca="false">'Cash Flow Statement'!H21</f>
        <v>-20</v>
      </c>
      <c r="T15" s="47" t="n">
        <f aca="false">'Cash Flow Statement'!I21</f>
        <v>-20</v>
      </c>
      <c r="U15" s="47" t="n">
        <f aca="false">'Cash Flow Statement'!J21</f>
        <v>-20</v>
      </c>
    </row>
    <row r="16" customFormat="false" ht="13.5" hidden="false" customHeight="true" outlineLevel="0" collapsed="false">
      <c r="B16" s="2" t="s">
        <v>30</v>
      </c>
      <c r="C16" s="21" t="n">
        <f aca="false">'Income Statement'!C16</f>
        <v>44.10772</v>
      </c>
      <c r="D16" s="21" t="n">
        <f aca="false">'Income Statement'!D16</f>
        <v>60.11464</v>
      </c>
      <c r="E16" s="21" t="n">
        <f aca="false">'Income Statement'!E16</f>
        <v>63.765</v>
      </c>
      <c r="F16" s="44" t="n">
        <f aca="false">'Income Statement'!F16</f>
        <v>73.1058585158264</v>
      </c>
      <c r="G16" s="44" t="n">
        <f aca="false">'Income Statement'!G16</f>
        <v>62.785391479916</v>
      </c>
      <c r="H16" s="44" t="n">
        <f aca="false">'Income Statement'!H16</f>
        <v>52.2795326411336</v>
      </c>
      <c r="I16" s="44" t="n">
        <f aca="false">'Income Statement'!I16</f>
        <v>45.45</v>
      </c>
      <c r="J16" s="44" t="n">
        <f aca="false">'Income Statement'!J16</f>
        <v>43.2</v>
      </c>
      <c r="M16" s="2" t="s">
        <v>31</v>
      </c>
      <c r="N16" s="25"/>
      <c r="O16" s="26" t="n">
        <f aca="false">'Cash Flow Statement'!D22</f>
        <v>-145</v>
      </c>
      <c r="P16" s="26" t="n">
        <f aca="false">'Cash Flow Statement'!E22</f>
        <v>-250</v>
      </c>
      <c r="Q16" s="28" t="n">
        <f aca="false">'Cash Flow Statement'!F22</f>
        <v>-288.397619695752</v>
      </c>
      <c r="R16" s="28" t="n">
        <f aca="false">'Cash Flow Statement'!G22</f>
        <v>-336.26402545639</v>
      </c>
      <c r="S16" s="28" t="n">
        <f aca="false">'Cash Flow Statement'!H22</f>
        <v>-392.201409418277</v>
      </c>
      <c r="T16" s="28" t="n">
        <f aca="false">'Cash Flow Statement'!I22</f>
        <v>-457.5857065869</v>
      </c>
      <c r="U16" s="28" t="n">
        <f aca="false">'Cash Flow Statement'!J22</f>
        <v>-534.029187308741</v>
      </c>
    </row>
    <row r="17" customFormat="false" ht="13.5" hidden="false" customHeight="true" outlineLevel="0" collapsed="false">
      <c r="B17" s="2" t="s">
        <v>32</v>
      </c>
      <c r="C17" s="21" t="n">
        <f aca="false">'Income Statement'!C17</f>
        <v>0</v>
      </c>
      <c r="D17" s="21" t="n">
        <f aca="false">'Income Statement'!D17</f>
        <v>9.400783150617</v>
      </c>
      <c r="E17" s="21" t="n">
        <f aca="false">'Income Statement'!E17</f>
        <v>10.9396017051878</v>
      </c>
      <c r="F17" s="44" t="n">
        <f aca="false">'Income Statement'!F17</f>
        <v>11.0024821750481</v>
      </c>
      <c r="G17" s="44" t="n">
        <f aca="false">'Income Statement'!G17</f>
        <v>11.1768835478496</v>
      </c>
      <c r="H17" s="44" t="n">
        <f aca="false">'Income Statement'!H17</f>
        <v>13.7936756426755</v>
      </c>
      <c r="I17" s="44" t="n">
        <f aca="false">'Income Statement'!I17</f>
        <v>22.6343289034502</v>
      </c>
      <c r="J17" s="44" t="n">
        <f aca="false">'Income Statement'!J17</f>
        <v>36.8092347640668</v>
      </c>
      <c r="M17" s="2" t="s">
        <v>33</v>
      </c>
      <c r="N17" s="25"/>
      <c r="O17" s="26" t="n">
        <f aca="false">'Cash Flow Statement'!D23</f>
        <v>-26.466</v>
      </c>
      <c r="P17" s="27" t="n">
        <f aca="false">'Cash Flow Statement'!E23</f>
        <v>-30.735</v>
      </c>
      <c r="Q17" s="28" t="n">
        <f aca="false">'Cash Flow Statement'!F23</f>
        <v>-32.9597279652288</v>
      </c>
      <c r="R17" s="28" t="n">
        <f aca="false">'Cash Flow Statement'!G23</f>
        <v>-38.4301743378731</v>
      </c>
      <c r="S17" s="28" t="n">
        <f aca="false">'Cash Flow Statement'!H23</f>
        <v>-44.8230182192317</v>
      </c>
      <c r="T17" s="28" t="n">
        <f aca="false">'Cash Flow Statement'!I23</f>
        <v>-52.2955093242171</v>
      </c>
      <c r="U17" s="28" t="n">
        <f aca="false">'Cash Flow Statement'!J23</f>
        <v>-61.031907120999</v>
      </c>
    </row>
    <row r="18" customFormat="false" ht="13.5" hidden="false" customHeight="true" outlineLevel="0" collapsed="false">
      <c r="B18" s="34" t="s">
        <v>34</v>
      </c>
      <c r="C18" s="35" t="n">
        <f aca="false">'Income Statement'!C18</f>
        <v>949.5861036</v>
      </c>
      <c r="D18" s="35" t="n">
        <f aca="false">'Income Statement'!D18</f>
        <v>969.108342297617</v>
      </c>
      <c r="E18" s="31" t="n">
        <f aca="false">'Income Statement'!E18</f>
        <v>995.304924847988</v>
      </c>
      <c r="F18" s="36" t="n">
        <f aca="false">'Income Statement'!F18</f>
        <v>926.950199755317</v>
      </c>
      <c r="G18" s="36" t="n">
        <f aca="false">'Income Statement'!G18</f>
        <v>1097.91359843735</v>
      </c>
      <c r="H18" s="36" t="n">
        <f aca="false">'Income Statement'!H18</f>
        <v>1298.69778061927</v>
      </c>
      <c r="I18" s="36" t="n">
        <f aca="false">'Income Statement'!I18</f>
        <v>1533.86828629211</v>
      </c>
      <c r="J18" s="36" t="n">
        <f aca="false">'Income Statement'!J18</f>
        <v>1807.0761764328</v>
      </c>
      <c r="M18" s="50" t="s">
        <v>35</v>
      </c>
      <c r="N18" s="39"/>
      <c r="O18" s="40" t="n">
        <f aca="false">'Cash Flow Statement'!D24</f>
        <v>-201.466</v>
      </c>
      <c r="P18" s="40" t="n">
        <f aca="false">'Cash Flow Statement'!E24</f>
        <v>-310.735</v>
      </c>
      <c r="Q18" s="42" t="n">
        <f aca="false">'Cash Flow Statement'!F24</f>
        <v>-351.357347660981</v>
      </c>
      <c r="R18" s="42" t="n">
        <f aca="false">'Cash Flow Statement'!G24</f>
        <v>-404.694199794263</v>
      </c>
      <c r="S18" s="42" t="n">
        <f aca="false">'Cash Flow Statement'!H24</f>
        <v>-467.024427637509</v>
      </c>
      <c r="T18" s="42" t="n">
        <f aca="false">'Cash Flow Statement'!I24</f>
        <v>-539.881215911117</v>
      </c>
      <c r="U18" s="42" t="n">
        <f aca="false">'Cash Flow Statement'!J24</f>
        <v>-625.06109442974</v>
      </c>
    </row>
    <row r="19" customFormat="false" ht="13.5" hidden="false" customHeight="true" outlineLevel="0" collapsed="false">
      <c r="E19" s="20"/>
      <c r="F19" s="37"/>
      <c r="G19" s="37"/>
      <c r="H19" s="37"/>
      <c r="I19" s="37"/>
      <c r="J19" s="37"/>
      <c r="N19" s="25"/>
      <c r="O19" s="45" t="n">
        <f aca="false">'Cash Flow Statement'!D25</f>
        <v>0</v>
      </c>
      <c r="P19" s="46" t="n">
        <f aca="false">'Cash Flow Statement'!E25</f>
        <v>0</v>
      </c>
      <c r="Q19" s="47" t="n">
        <f aca="false">'Cash Flow Statement'!F25</f>
        <v>0</v>
      </c>
      <c r="R19" s="47" t="n">
        <f aca="false">'Cash Flow Statement'!G25</f>
        <v>0</v>
      </c>
      <c r="S19" s="47" t="n">
        <f aca="false">'Cash Flow Statement'!H25</f>
        <v>0</v>
      </c>
      <c r="T19" s="47" t="n">
        <f aca="false">'Cash Flow Statement'!I25</f>
        <v>0</v>
      </c>
      <c r="U19" s="47" t="n">
        <f aca="false">'Cash Flow Statement'!J25</f>
        <v>0</v>
      </c>
    </row>
    <row r="20" customFormat="false" ht="13.5" hidden="false" customHeight="true" outlineLevel="0" collapsed="false">
      <c r="B20" s="2" t="s">
        <v>36</v>
      </c>
      <c r="C20" s="21" t="n">
        <f aca="false">'Income Statement'!C20</f>
        <v>175</v>
      </c>
      <c r="D20" s="21" t="n">
        <f aca="false">'Income Statement'!D20</f>
        <v>215</v>
      </c>
      <c r="E20" s="21" t="n">
        <f aca="false">'Income Statement'!E20</f>
        <v>255</v>
      </c>
      <c r="F20" s="47" t="n">
        <f aca="false">'Income Statement'!F20</f>
        <v>231.737549938829</v>
      </c>
      <c r="G20" s="47" t="n">
        <f aca="false">'Income Statement'!G20</f>
        <v>274.478399609336</v>
      </c>
      <c r="H20" s="47" t="n">
        <f aca="false">'Income Statement'!H20</f>
        <v>324.674445154818</v>
      </c>
      <c r="I20" s="47" t="n">
        <f aca="false">'Income Statement'!I20</f>
        <v>383.467071573026</v>
      </c>
      <c r="J20" s="47" t="n">
        <f aca="false">'Income Statement'!J20</f>
        <v>451.769044108199</v>
      </c>
      <c r="M20" s="19" t="s">
        <v>37</v>
      </c>
      <c r="N20" s="25"/>
      <c r="O20" s="45" t="n">
        <f aca="false">'Cash Flow Statement'!D26</f>
        <v>0</v>
      </c>
      <c r="P20" s="46" t="n">
        <f aca="false">'Cash Flow Statement'!E26</f>
        <v>0</v>
      </c>
      <c r="Q20" s="47" t="n">
        <f aca="false">'Cash Flow Statement'!F26</f>
        <v>0</v>
      </c>
      <c r="R20" s="47" t="n">
        <f aca="false">'Cash Flow Statement'!G26</f>
        <v>0</v>
      </c>
      <c r="S20" s="47" t="n">
        <f aca="false">'Cash Flow Statement'!H26</f>
        <v>0</v>
      </c>
      <c r="T20" s="47" t="n">
        <f aca="false">'Cash Flow Statement'!I26</f>
        <v>0</v>
      </c>
      <c r="U20" s="47" t="n">
        <f aca="false">'Cash Flow Statement'!J26</f>
        <v>0</v>
      </c>
    </row>
    <row r="21" customFormat="false" ht="13.5" hidden="false" customHeight="true" outlineLevel="0" collapsed="false">
      <c r="B21" s="51" t="s">
        <v>17</v>
      </c>
      <c r="C21" s="52" t="n">
        <f aca="false">'Income Statement'!C21</f>
        <v>774.5861036</v>
      </c>
      <c r="D21" s="52" t="n">
        <f aca="false">'Income Statement'!D21</f>
        <v>754.108342297617</v>
      </c>
      <c r="E21" s="53" t="n">
        <f aca="false">'Income Statement'!E21</f>
        <v>740.304924847988</v>
      </c>
      <c r="F21" s="54" t="n">
        <f aca="false">'Income Statement'!F21</f>
        <v>695.212649816488</v>
      </c>
      <c r="G21" s="54" t="n">
        <f aca="false">'Income Statement'!G21</f>
        <v>823.435198828009</v>
      </c>
      <c r="H21" s="54" t="n">
        <f aca="false">'Income Statement'!H21</f>
        <v>974.023335464453</v>
      </c>
      <c r="I21" s="54" t="n">
        <f aca="false">'Income Statement'!I21</f>
        <v>1150.40121471908</v>
      </c>
      <c r="J21" s="54" t="n">
        <f aca="false">'Income Statement'!J21</f>
        <v>1355.3071323246</v>
      </c>
      <c r="M21" s="2" t="s">
        <v>38</v>
      </c>
      <c r="N21" s="25"/>
      <c r="O21" s="26" t="n">
        <f aca="false">'Cash Flow Statement'!D27</f>
        <v>-100</v>
      </c>
      <c r="P21" s="27" t="n">
        <f aca="false">'Cash Flow Statement'!E27</f>
        <v>-49</v>
      </c>
      <c r="Q21" s="28" t="n">
        <f aca="false">'Cash Flow Statement'!F27</f>
        <v>49.4692998302584</v>
      </c>
      <c r="R21" s="28" t="n">
        <f aca="false">'Cash Flow Statement'!G27</f>
        <v>-42.4583353864302</v>
      </c>
      <c r="S21" s="28" t="n">
        <f aca="false">'Cash Flow Statement'!H27</f>
        <v>-66.0041544332852</v>
      </c>
      <c r="T21" s="28" t="n">
        <f aca="false">'Cash Flow Statement'!I27</f>
        <v>-0</v>
      </c>
      <c r="U21" s="28" t="n">
        <f aca="false">'Cash Flow Statement'!J27</f>
        <v>-0</v>
      </c>
    </row>
    <row r="22" customFormat="false" ht="13.5" hidden="false" customHeight="true" outlineLevel="0" collapsed="false">
      <c r="E22" s="55"/>
      <c r="M22" s="2" t="s">
        <v>39</v>
      </c>
      <c r="N22" s="25"/>
      <c r="O22" s="26" t="n">
        <f aca="false">'Cash Flow Statement'!D28</f>
        <v>0</v>
      </c>
      <c r="P22" s="27" t="n">
        <f aca="false">'Cash Flow Statement'!E28</f>
        <v>0</v>
      </c>
      <c r="Q22" s="28" t="n">
        <f aca="false">'Cash Flow Statement'!F28</f>
        <v>0</v>
      </c>
      <c r="R22" s="28" t="n">
        <f aca="false">'Cash Flow Statement'!G28</f>
        <v>0</v>
      </c>
      <c r="S22" s="28" t="n">
        <f aca="false">'Cash Flow Statement'!H28</f>
        <v>0</v>
      </c>
      <c r="T22" s="28" t="n">
        <f aca="false">'Cash Flow Statement'!I28</f>
        <v>0</v>
      </c>
      <c r="U22" s="28" t="n">
        <f aca="false">'Cash Flow Statement'!J28</f>
        <v>0</v>
      </c>
    </row>
    <row r="23" customFormat="false" ht="13.5" hidden="false" customHeight="true" outlineLevel="0" collapsed="false">
      <c r="C23" s="56"/>
      <c r="D23" s="56"/>
      <c r="E23" s="56"/>
      <c r="F23" s="56"/>
      <c r="G23" s="56"/>
      <c r="H23" s="56"/>
      <c r="I23" s="56"/>
      <c r="J23" s="56"/>
      <c r="M23" s="2" t="s">
        <v>40</v>
      </c>
      <c r="N23" s="25"/>
      <c r="O23" s="26" t="n">
        <f aca="false">'Cash Flow Statement'!D29</f>
        <v>-210</v>
      </c>
      <c r="P23" s="27" t="n">
        <f aca="false">'Cash Flow Statement'!E29</f>
        <v>-355</v>
      </c>
      <c r="Q23" s="28" t="n">
        <f aca="false">'Cash Flow Statement'!F29</f>
        <v>-300</v>
      </c>
      <c r="R23" s="28" t="n">
        <f aca="false">'Cash Flow Statement'!G29</f>
        <v>-200</v>
      </c>
      <c r="S23" s="28" t="n">
        <f aca="false">'Cash Flow Statement'!H29</f>
        <v>-100</v>
      </c>
      <c r="T23" s="28" t="n">
        <f aca="false">'Cash Flow Statement'!I29</f>
        <v>-50</v>
      </c>
      <c r="U23" s="28" t="n">
        <f aca="false">'Cash Flow Statement'!J29</f>
        <v>-50</v>
      </c>
    </row>
    <row r="24" customFormat="false" ht="13.5" hidden="false" customHeight="true" outlineLevel="0" collapsed="false">
      <c r="B24" s="2" t="s">
        <v>41</v>
      </c>
      <c r="C24" s="57" t="n">
        <f aca="false">'Income Statement'!C24</f>
        <v>99.245</v>
      </c>
      <c r="D24" s="57" t="n">
        <f aca="false">'Income Statement'!D24</f>
        <v>97.995</v>
      </c>
      <c r="E24" s="57" t="n">
        <f aca="false">'Income Statement'!E24</f>
        <v>96.6156896551724</v>
      </c>
      <c r="F24" s="33" t="n">
        <f aca="false">'Income Statement'!F24</f>
        <v>94.9092117580713</v>
      </c>
      <c r="G24" s="33" t="n">
        <f aca="false">'Income Statement'!G24</f>
        <v>93.490004774643</v>
      </c>
      <c r="H24" s="33" t="n">
        <f aca="false">'Income Statement'!H24</f>
        <v>92.3054154471582</v>
      </c>
      <c r="I24" s="33" t="n">
        <f aca="false">'Income Statement'!I24</f>
        <v>91.3132265569107</v>
      </c>
      <c r="J24" s="33" t="n">
        <f aca="false">'Income Statement'!J24</f>
        <v>90.478740986379</v>
      </c>
      <c r="M24" s="2" t="s">
        <v>42</v>
      </c>
      <c r="N24" s="25"/>
      <c r="O24" s="26" t="n">
        <f aca="false">'Cash Flow Statement'!D30</f>
        <v>-75</v>
      </c>
      <c r="P24" s="26" t="n">
        <f aca="false">'Cash Flow Statement'!E30</f>
        <v>-80</v>
      </c>
      <c r="Q24" s="28" t="n">
        <f aca="false">'Cash Flow Statement'!F30</f>
        <v>-100</v>
      </c>
      <c r="R24" s="28" t="n">
        <f aca="false">'Cash Flow Statement'!G30</f>
        <v>-100</v>
      </c>
      <c r="S24" s="28" t="n">
        <f aca="false">'Cash Flow Statement'!H30</f>
        <v>-100</v>
      </c>
      <c r="T24" s="28" t="n">
        <f aca="false">'Cash Flow Statement'!I30</f>
        <v>-100</v>
      </c>
      <c r="U24" s="28" t="n">
        <f aca="false">'Cash Flow Statement'!J30</f>
        <v>-100</v>
      </c>
    </row>
    <row r="25" customFormat="false" ht="13.5" hidden="false" customHeight="true" outlineLevel="0" collapsed="false">
      <c r="B25" s="2" t="s">
        <v>43</v>
      </c>
      <c r="C25" s="58" t="n">
        <f aca="false">'Income Statement'!C26</f>
        <v>7.80478717920298</v>
      </c>
      <c r="D25" s="58" t="n">
        <f aca="false">'Income Statement'!D26</f>
        <v>7.69537570587904</v>
      </c>
      <c r="E25" s="59" t="n">
        <f aca="false">'Income Statement'!E26</f>
        <v>7.66236754599779</v>
      </c>
      <c r="F25" s="60" t="n">
        <f aca="false">'Income Statement'!F26</f>
        <v>7.32502895070271</v>
      </c>
      <c r="G25" s="61" t="n">
        <f aca="false">'Income Statement'!G26</f>
        <v>8.80773569039582</v>
      </c>
      <c r="H25" s="61" t="n">
        <f aca="false">'Income Statement'!H26</f>
        <v>10.5521801606472</v>
      </c>
      <c r="I25" s="61" t="n">
        <f aca="false">'Income Statement'!I26</f>
        <v>12.5984075440338</v>
      </c>
      <c r="J25" s="61" t="n">
        <f aca="false">'Income Statement'!J26</f>
        <v>14.9792883680831</v>
      </c>
      <c r="M25" s="2" t="s">
        <v>44</v>
      </c>
      <c r="N25" s="25"/>
      <c r="O25" s="26" t="n">
        <f aca="false">'Cash Flow Statement'!D31</f>
        <v>-190</v>
      </c>
      <c r="P25" s="27" t="n">
        <f aca="false">'Cash Flow Statement'!E31</f>
        <v>-230</v>
      </c>
      <c r="Q25" s="28" t="n">
        <f aca="false">'Cash Flow Statement'!F31</f>
        <v>-208.798761618459</v>
      </c>
      <c r="R25" s="28" t="n">
        <f aca="false">'Cash Flow Statement'!G31</f>
        <v>-248.946191896254</v>
      </c>
      <c r="S25" s="28" t="n">
        <f aca="false">'Cash Flow Statement'!H31</f>
        <v>-296.645664912262</v>
      </c>
      <c r="T25" s="28" t="n">
        <f aca="false">'Cash Flow Statement'!I31</f>
        <v>-351.999449325606</v>
      </c>
      <c r="U25" s="28" t="n">
        <f aca="false">'Cash Flow Statement'!J31</f>
        <v>-416.364358992121</v>
      </c>
    </row>
    <row r="26" customFormat="false" ht="13.5" hidden="false" customHeight="true" outlineLevel="0" collapsed="false">
      <c r="C26" s="62"/>
      <c r="D26" s="62"/>
      <c r="E26" s="62"/>
      <c r="F26" s="63"/>
      <c r="G26" s="62"/>
      <c r="H26" s="62"/>
      <c r="I26" s="62"/>
      <c r="J26" s="62"/>
      <c r="M26" s="50" t="s">
        <v>45</v>
      </c>
      <c r="N26" s="64"/>
      <c r="O26" s="40" t="n">
        <f aca="false">'Cash Flow Statement'!D32</f>
        <v>-575</v>
      </c>
      <c r="P26" s="41" t="n">
        <f aca="false">'Cash Flow Statement'!E32</f>
        <v>-714</v>
      </c>
      <c r="Q26" s="42" t="n">
        <f aca="false">'Cash Flow Statement'!F32</f>
        <v>-559.3294617882</v>
      </c>
      <c r="R26" s="42" t="n">
        <f aca="false">'Cash Flow Statement'!G32</f>
        <v>-591.404527282684</v>
      </c>
      <c r="S26" s="42" t="n">
        <f aca="false">'Cash Flow Statement'!H32</f>
        <v>-562.649819345547</v>
      </c>
      <c r="T26" s="42" t="n">
        <f aca="false">'Cash Flow Statement'!I32</f>
        <v>-501.999449325606</v>
      </c>
      <c r="U26" s="42" t="n">
        <f aca="false">'Cash Flow Statement'!J32</f>
        <v>-566.364358992121</v>
      </c>
    </row>
    <row r="27" customFormat="false" ht="13.5" hidden="false" customHeight="true" outlineLevel="0" collapsed="false">
      <c r="N27" s="37"/>
      <c r="O27" s="45" t="n">
        <f aca="false">'Cash Flow Statement'!D33</f>
        <v>0</v>
      </c>
      <c r="P27" s="46" t="n">
        <f aca="false">'Cash Flow Statement'!E33</f>
        <v>0</v>
      </c>
      <c r="Q27" s="47" t="n">
        <f aca="false">'Cash Flow Statement'!F33</f>
        <v>0</v>
      </c>
      <c r="R27" s="47" t="n">
        <f aca="false">'Cash Flow Statement'!G33</f>
        <v>0</v>
      </c>
      <c r="S27" s="47" t="n">
        <f aca="false">'Cash Flow Statement'!H33</f>
        <v>0</v>
      </c>
      <c r="T27" s="47" t="n">
        <f aca="false">'Cash Flow Statement'!I33</f>
        <v>0</v>
      </c>
      <c r="U27" s="47" t="n">
        <f aca="false">'Cash Flow Statement'!J33</f>
        <v>0</v>
      </c>
    </row>
    <row r="28" customFormat="false" ht="13.5" hidden="false" customHeight="true" outlineLevel="0" collapsed="false">
      <c r="B28" s="65" t="s">
        <v>46</v>
      </c>
      <c r="M28" s="2" t="s">
        <v>47</v>
      </c>
      <c r="N28" s="37"/>
      <c r="O28" s="66" t="n">
        <f aca="false">'Cash Flow Statement'!D34</f>
        <v>58.108342297617</v>
      </c>
      <c r="P28" s="67" t="n">
        <f aca="false">'Cash Flow Statement'!E34</f>
        <v>-36.8950751520132</v>
      </c>
      <c r="Q28" s="68" t="n">
        <f aca="false">'Cash Flow Statement'!F34</f>
        <v>-18.7132671456036</v>
      </c>
      <c r="R28" s="68" t="n">
        <f aca="false">'Cash Flow Statement'!G34</f>
        <v>-31.3209401228794</v>
      </c>
      <c r="S28" s="68" t="n">
        <f aca="false">'Cash Flow Statement'!H34</f>
        <v>120.851916970073</v>
      </c>
      <c r="T28" s="68" t="n">
        <f aca="false">'Cash Flow Statement'!I34</f>
        <v>324.328269359909</v>
      </c>
      <c r="U28" s="68" t="n">
        <f aca="false">'Cash Flow Statement'!J34</f>
        <v>425.666351246756</v>
      </c>
    </row>
    <row r="29" customFormat="false" ht="13.5" hidden="false" customHeight="true" outlineLevel="0" collapsed="false">
      <c r="B29" s="7"/>
      <c r="C29" s="69" t="s">
        <v>3</v>
      </c>
      <c r="D29" s="70"/>
      <c r="E29" s="70"/>
      <c r="F29" s="71" t="s">
        <v>4</v>
      </c>
      <c r="G29" s="70"/>
      <c r="H29" s="70"/>
      <c r="I29" s="70"/>
      <c r="J29" s="70"/>
      <c r="M29" s="2" t="s">
        <v>48</v>
      </c>
      <c r="N29" s="37"/>
      <c r="O29" s="45" t="n">
        <f aca="false">'Cash Flow Statement'!D35</f>
        <v>27.5</v>
      </c>
      <c r="P29" s="46" t="n">
        <f aca="false">'Cash Flow Statement'!E35</f>
        <v>85.608342297617</v>
      </c>
      <c r="Q29" s="47" t="n">
        <f aca="false">'Cash Flow Statement'!F35</f>
        <v>48.7132671456038</v>
      </c>
      <c r="R29" s="47" t="n">
        <f aca="false">'Cash Flow Statement'!G35</f>
        <v>30.0000000000002</v>
      </c>
      <c r="S29" s="47" t="n">
        <f aca="false">'Cash Flow Statement'!H35</f>
        <v>-1.32094012287916</v>
      </c>
      <c r="T29" s="47" t="n">
        <f aca="false">'Cash Flow Statement'!I35</f>
        <v>119.530976847194</v>
      </c>
      <c r="U29" s="47" t="n">
        <f aca="false">'Cash Flow Statement'!J35</f>
        <v>443.859246207103</v>
      </c>
    </row>
    <row r="30" customFormat="false" ht="13.5" hidden="false" customHeight="true" outlineLevel="0" collapsed="false">
      <c r="B30" s="11" t="s">
        <v>5</v>
      </c>
      <c r="C30" s="12" t="s">
        <v>6</v>
      </c>
      <c r="D30" s="12" t="s">
        <v>7</v>
      </c>
      <c r="E30" s="13" t="s">
        <v>8</v>
      </c>
      <c r="F30" s="14" t="s">
        <v>9</v>
      </c>
      <c r="G30" s="14" t="s">
        <v>10</v>
      </c>
      <c r="H30" s="14" t="s">
        <v>11</v>
      </c>
      <c r="I30" s="14" t="s">
        <v>12</v>
      </c>
      <c r="J30" s="14" t="s">
        <v>13</v>
      </c>
      <c r="M30" s="72" t="s">
        <v>49</v>
      </c>
      <c r="N30" s="73" t="n">
        <f aca="false">'Cash Flow Statement'!C36</f>
        <v>27.5</v>
      </c>
      <c r="O30" s="74" t="n">
        <f aca="false">'Cash Flow Statement'!D36</f>
        <v>85.608342297617</v>
      </c>
      <c r="P30" s="75" t="n">
        <f aca="false">'Cash Flow Statement'!E36</f>
        <v>48.7132671456038</v>
      </c>
      <c r="Q30" s="76" t="n">
        <f aca="false">'Cash Flow Statement'!F36</f>
        <v>30.0000000000002</v>
      </c>
      <c r="R30" s="76" t="n">
        <f aca="false">'Cash Flow Statement'!G36</f>
        <v>-1.32094012287916</v>
      </c>
      <c r="S30" s="76" t="n">
        <f aca="false">'Cash Flow Statement'!H36</f>
        <v>119.530976847194</v>
      </c>
      <c r="T30" s="76" t="n">
        <f aca="false">'Cash Flow Statement'!I36</f>
        <v>443.859246207103</v>
      </c>
      <c r="U30" s="77" t="n">
        <f aca="false">'Cash Flow Statement'!J36</f>
        <v>869.525597453859</v>
      </c>
    </row>
    <row r="31" customFormat="false" ht="13.5" hidden="false" customHeight="true" outlineLevel="0" collapsed="false">
      <c r="B31" s="78"/>
      <c r="C31" s="79"/>
      <c r="D31" s="79"/>
      <c r="E31" s="80"/>
      <c r="F31" s="79"/>
      <c r="G31" s="79"/>
      <c r="H31" s="79"/>
      <c r="I31" s="79"/>
      <c r="J31" s="79"/>
    </row>
    <row r="32" customFormat="false" ht="13.5" hidden="false" customHeight="true" outlineLevel="0" collapsed="false">
      <c r="B32" s="81" t="s">
        <v>50</v>
      </c>
      <c r="C32" s="82"/>
      <c r="D32" s="82"/>
      <c r="E32" s="83"/>
      <c r="F32" s="84"/>
      <c r="G32" s="84"/>
      <c r="H32" s="84"/>
      <c r="I32" s="84"/>
      <c r="J32" s="84"/>
    </row>
    <row r="33" customFormat="false" ht="13.5" hidden="false" customHeight="true" outlineLevel="0" collapsed="false">
      <c r="B33" s="85" t="s">
        <v>51</v>
      </c>
      <c r="C33" s="17" t="n">
        <f aca="false">'Balance Sheet'!C7</f>
        <v>27.5</v>
      </c>
      <c r="D33" s="17" t="n">
        <f aca="false">'Balance Sheet'!D7</f>
        <v>85.6083422976172</v>
      </c>
      <c r="E33" s="17" t="n">
        <f aca="false">'Balance Sheet'!E7</f>
        <v>48.7132671456037</v>
      </c>
      <c r="F33" s="18" t="n">
        <f aca="false">'Balance Sheet'!F7</f>
        <v>30.0000000000002</v>
      </c>
      <c r="G33" s="18" t="n">
        <f aca="false">'Balance Sheet'!G7</f>
        <v>-1.32094012287916</v>
      </c>
      <c r="H33" s="18" t="n">
        <f aca="false">'Balance Sheet'!H7</f>
        <v>119.530976847194</v>
      </c>
      <c r="I33" s="18" t="n">
        <f aca="false">'Balance Sheet'!I7</f>
        <v>443.859246207103</v>
      </c>
      <c r="J33" s="18" t="n">
        <f aca="false">'Balance Sheet'!J7</f>
        <v>869.525597453859</v>
      </c>
      <c r="M33" s="86"/>
    </row>
    <row r="34" customFormat="false" ht="13.5" hidden="false" customHeight="true" outlineLevel="0" collapsed="false">
      <c r="B34" s="85" t="s">
        <v>52</v>
      </c>
      <c r="C34" s="87" t="n">
        <f aca="false">'Balance Sheet'!C8</f>
        <v>40</v>
      </c>
      <c r="D34" s="87" t="n">
        <f aca="false">'Balance Sheet'!D8</f>
        <v>50</v>
      </c>
      <c r="E34" s="87" t="n">
        <f aca="false">'Balance Sheet'!E8</f>
        <v>60</v>
      </c>
      <c r="F34" s="88" t="n">
        <f aca="false">'Balance Sheet'!F8</f>
        <v>70</v>
      </c>
      <c r="G34" s="88" t="n">
        <f aca="false">'Balance Sheet'!G8</f>
        <v>80</v>
      </c>
      <c r="H34" s="88" t="n">
        <f aca="false">'Balance Sheet'!H8</f>
        <v>90</v>
      </c>
      <c r="I34" s="88" t="n">
        <f aca="false">'Balance Sheet'!I8</f>
        <v>100</v>
      </c>
      <c r="J34" s="88" t="n">
        <f aca="false">'Balance Sheet'!J8</f>
        <v>110</v>
      </c>
    </row>
    <row r="35" customFormat="false" ht="13.5" hidden="false" customHeight="true" outlineLevel="0" collapsed="false">
      <c r="B35" s="89" t="s">
        <v>53</v>
      </c>
      <c r="C35" s="90" t="n">
        <f aca="false">'Balance Sheet'!C9</f>
        <v>462.9</v>
      </c>
      <c r="D35" s="90" t="n">
        <f aca="false">'Balance Sheet'!D9</f>
        <v>473.7</v>
      </c>
      <c r="E35" s="90" t="n">
        <f aca="false">'Balance Sheet'!E9</f>
        <v>473</v>
      </c>
      <c r="F35" s="91" t="n">
        <f aca="false">'Balance Sheet'!F9</f>
        <v>474.078278951921</v>
      </c>
      <c r="G35" s="91" t="n">
        <f aca="false">'Balance Sheet'!G9</f>
        <v>552.762781572147</v>
      </c>
      <c r="H35" s="91" t="n">
        <f aca="false">'Balance Sheet'!H9</f>
        <v>644.714645619086</v>
      </c>
      <c r="I35" s="91" t="n">
        <f aca="false">'Balance Sheet'!I9</f>
        <v>752.195682060657</v>
      </c>
      <c r="J35" s="91" t="n">
        <f aca="false">'Balance Sheet'!J9</f>
        <v>877.856198315739</v>
      </c>
    </row>
    <row r="36" customFormat="false" ht="13.5" hidden="false" customHeight="true" outlineLevel="0" collapsed="false">
      <c r="B36" s="29" t="s">
        <v>54</v>
      </c>
      <c r="C36" s="90" t="n">
        <f aca="false">'Balance Sheet'!C10</f>
        <v>327</v>
      </c>
      <c r="D36" s="90" t="n">
        <f aca="false">'Balance Sheet'!D10</f>
        <v>350.2</v>
      </c>
      <c r="E36" s="90" t="n">
        <f aca="false">'Balance Sheet'!E10</f>
        <v>383.8</v>
      </c>
      <c r="F36" s="91" t="n">
        <f aca="false">'Balance Sheet'!F10</f>
        <v>411.327884342998</v>
      </c>
      <c r="G36" s="91" t="n">
        <f aca="false">'Balance Sheet'!G10</f>
        <v>479.443484399501</v>
      </c>
      <c r="H36" s="91" t="n">
        <f aca="false">'Balance Sheet'!H10</f>
        <v>559.031342926632</v>
      </c>
      <c r="I36" s="91" t="n">
        <f aca="false">'Balance Sheet'!I10</f>
        <v>652.046641464277</v>
      </c>
      <c r="J36" s="91" t="n">
        <f aca="false">'Balance Sheet'!J10</f>
        <v>760.780482516343</v>
      </c>
      <c r="M36" s="92"/>
      <c r="N36" s="93"/>
      <c r="O36" s="93"/>
      <c r="P36" s="93"/>
      <c r="Q36" s="93"/>
      <c r="R36" s="93"/>
      <c r="S36" s="93"/>
      <c r="T36" s="93"/>
      <c r="U36" s="93"/>
    </row>
    <row r="37" customFormat="false" ht="13.5" hidden="false" customHeight="true" outlineLevel="0" collapsed="false">
      <c r="B37" s="29" t="s">
        <v>55</v>
      </c>
      <c r="C37" s="90" t="n">
        <f aca="false">'Balance Sheet'!C11</f>
        <v>87.4</v>
      </c>
      <c r="D37" s="90" t="n">
        <f aca="false">'Balance Sheet'!D11</f>
        <v>82.8</v>
      </c>
      <c r="E37" s="90" t="n">
        <f aca="false">'Balance Sheet'!E11</f>
        <v>83.5</v>
      </c>
      <c r="F37" s="91" t="n">
        <f aca="false">'Balance Sheet'!F11</f>
        <v>82.399319913072</v>
      </c>
      <c r="G37" s="91" t="n">
        <f aca="false">'Balance Sheet'!G11</f>
        <v>96.0754358446827</v>
      </c>
      <c r="H37" s="91" t="n">
        <f aca="false">'Balance Sheet'!H11</f>
        <v>112.057545548079</v>
      </c>
      <c r="I37" s="91" t="n">
        <f aca="false">'Balance Sheet'!I11</f>
        <v>130.738773310543</v>
      </c>
      <c r="J37" s="91" t="n">
        <f aca="false">'Balance Sheet'!J11</f>
        <v>152.579767802498</v>
      </c>
      <c r="M37" s="29"/>
      <c r="N37" s="94"/>
      <c r="O37" s="94"/>
      <c r="P37" s="94"/>
      <c r="Q37" s="94"/>
      <c r="R37" s="94"/>
      <c r="S37" s="94"/>
      <c r="T37" s="94"/>
      <c r="U37" s="94"/>
    </row>
    <row r="38" customFormat="false" ht="13.5" hidden="false" customHeight="true" outlineLevel="0" collapsed="false">
      <c r="B38" s="95" t="s">
        <v>56</v>
      </c>
      <c r="C38" s="96" t="n">
        <f aca="false">'Balance Sheet'!C12</f>
        <v>944.8</v>
      </c>
      <c r="D38" s="96" t="n">
        <f aca="false">'Balance Sheet'!D12</f>
        <v>1042.30834229762</v>
      </c>
      <c r="E38" s="97" t="n">
        <f aca="false">'Balance Sheet'!E12</f>
        <v>1049.0132671456</v>
      </c>
      <c r="F38" s="98" t="n">
        <f aca="false">'Balance Sheet'!F12</f>
        <v>1067.80548320799</v>
      </c>
      <c r="G38" s="98" t="n">
        <f aca="false">'Balance Sheet'!G12</f>
        <v>1206.96076169345</v>
      </c>
      <c r="H38" s="98" t="n">
        <f aca="false">'Balance Sheet'!H12</f>
        <v>1525.33451094099</v>
      </c>
      <c r="I38" s="98" t="n">
        <f aca="false">'Balance Sheet'!I12</f>
        <v>2078.84034304258</v>
      </c>
      <c r="J38" s="98" t="n">
        <f aca="false">'Balance Sheet'!J12</f>
        <v>2770.74204608844</v>
      </c>
      <c r="M38" s="29"/>
      <c r="N38" s="94"/>
      <c r="O38" s="94"/>
      <c r="P38" s="94"/>
      <c r="Q38" s="94"/>
      <c r="R38" s="94"/>
      <c r="S38" s="94"/>
      <c r="T38" s="94"/>
      <c r="U38" s="94"/>
    </row>
    <row r="39" customFormat="false" ht="13.5" hidden="false" customHeight="true" outlineLevel="0" collapsed="false">
      <c r="B39" s="99"/>
      <c r="C39" s="100"/>
      <c r="D39" s="100"/>
      <c r="E39" s="101"/>
      <c r="F39" s="100"/>
      <c r="G39" s="100"/>
      <c r="H39" s="100"/>
      <c r="I39" s="100"/>
      <c r="J39" s="100"/>
      <c r="M39" s="29"/>
      <c r="N39" s="94"/>
      <c r="O39" s="94"/>
      <c r="P39" s="94"/>
      <c r="Q39" s="94"/>
      <c r="R39" s="94"/>
      <c r="S39" s="94"/>
      <c r="T39" s="94"/>
      <c r="U39" s="94"/>
    </row>
    <row r="40" customFormat="false" ht="13.5" hidden="false" customHeight="true" outlineLevel="0" collapsed="false">
      <c r="B40" s="99" t="s">
        <v>57</v>
      </c>
      <c r="C40" s="102" t="n">
        <f aca="false">'Balance Sheet'!C14</f>
        <v>160</v>
      </c>
      <c r="D40" s="102" t="n">
        <f aca="false">'Balance Sheet'!D14</f>
        <v>180</v>
      </c>
      <c r="E40" s="103" t="n">
        <f aca="false">'Balance Sheet'!E14</f>
        <v>200</v>
      </c>
      <c r="F40" s="104" t="n">
        <f aca="false">'Balance Sheet'!F14</f>
        <v>220</v>
      </c>
      <c r="G40" s="104" t="n">
        <f aca="false">'Balance Sheet'!G14</f>
        <v>240</v>
      </c>
      <c r="H40" s="104" t="n">
        <f aca="false">'Balance Sheet'!H14</f>
        <v>260</v>
      </c>
      <c r="I40" s="104" t="n">
        <f aca="false">'Balance Sheet'!I14</f>
        <v>280</v>
      </c>
      <c r="J40" s="104" t="n">
        <f aca="false">'Balance Sheet'!J14</f>
        <v>300</v>
      </c>
      <c r="N40" s="94"/>
      <c r="O40" s="94"/>
      <c r="P40" s="94"/>
      <c r="Q40" s="94"/>
      <c r="R40" s="94"/>
      <c r="S40" s="94"/>
      <c r="T40" s="94"/>
      <c r="U40" s="94"/>
    </row>
    <row r="41" customFormat="false" ht="13.5" hidden="false" customHeight="true" outlineLevel="0" collapsed="false">
      <c r="B41" s="105"/>
      <c r="C41" s="5"/>
      <c r="D41" s="5"/>
      <c r="E41" s="106"/>
      <c r="F41" s="5"/>
      <c r="G41" s="5"/>
      <c r="H41" s="107"/>
      <c r="I41" s="5"/>
      <c r="J41" s="5"/>
      <c r="M41" s="29"/>
      <c r="N41" s="108"/>
      <c r="O41" s="108"/>
      <c r="P41" s="108"/>
      <c r="Q41" s="108"/>
      <c r="R41" s="108"/>
      <c r="S41" s="108"/>
      <c r="T41" s="108"/>
      <c r="U41" s="108"/>
    </row>
    <row r="42" customFormat="false" ht="13.5" hidden="false" customHeight="true" outlineLevel="0" collapsed="false">
      <c r="B42" s="109" t="s">
        <v>58</v>
      </c>
      <c r="C42" s="110" t="n">
        <f aca="false">'Balance Sheet'!C16</f>
        <v>30</v>
      </c>
      <c r="D42" s="110" t="n">
        <f aca="false">'Balance Sheet'!D16</f>
        <v>30</v>
      </c>
      <c r="E42" s="110" t="n">
        <f aca="false">'Balance Sheet'!E16</f>
        <v>30</v>
      </c>
      <c r="F42" s="111" t="n">
        <f aca="false">'Balance Sheet'!F16</f>
        <v>30</v>
      </c>
      <c r="G42" s="111" t="n">
        <f aca="false">'Balance Sheet'!G16</f>
        <v>30</v>
      </c>
      <c r="H42" s="111" t="n">
        <f aca="false">'Balance Sheet'!H16</f>
        <v>30</v>
      </c>
      <c r="I42" s="111" t="n">
        <f aca="false">'Balance Sheet'!I16</f>
        <v>30</v>
      </c>
      <c r="J42" s="111" t="n">
        <f aca="false">'Balance Sheet'!J16</f>
        <v>30</v>
      </c>
      <c r="M42" s="29"/>
      <c r="N42" s="108"/>
      <c r="O42" s="108"/>
      <c r="P42" s="108"/>
      <c r="Q42" s="108"/>
      <c r="R42" s="108"/>
      <c r="S42" s="108"/>
      <c r="T42" s="108"/>
      <c r="U42" s="108"/>
    </row>
    <row r="43" customFormat="false" ht="13.5" hidden="false" customHeight="true" outlineLevel="0" collapsed="false">
      <c r="B43" s="109" t="s">
        <v>59</v>
      </c>
      <c r="C43" s="110" t="n">
        <f aca="false">'Balance Sheet'!C17</f>
        <v>630</v>
      </c>
      <c r="D43" s="110" t="n">
        <f aca="false">'Balance Sheet'!D17</f>
        <v>700</v>
      </c>
      <c r="E43" s="110" t="n">
        <f aca="false">'Balance Sheet'!E17</f>
        <v>875</v>
      </c>
      <c r="F43" s="111" t="n">
        <f aca="false">'Balance Sheet'!F17</f>
        <v>1080.99829978268</v>
      </c>
      <c r="G43" s="111" t="n">
        <f aca="false">'Balance Sheet'!G17</f>
        <v>1321.18688939439</v>
      </c>
      <c r="H43" s="111" t="n">
        <f aca="false">'Balance Sheet'!H17</f>
        <v>1601.33075326459</v>
      </c>
      <c r="I43" s="111" t="n">
        <f aca="false">'Balance Sheet'!I17</f>
        <v>1928.17768654094</v>
      </c>
      <c r="J43" s="111" t="n">
        <f aca="false">'Balance Sheet'!J17</f>
        <v>2309.62710604719</v>
      </c>
      <c r="M43" s="29"/>
      <c r="N43" s="108"/>
      <c r="O43" s="108"/>
      <c r="P43" s="108"/>
      <c r="Q43" s="108"/>
      <c r="R43" s="108"/>
      <c r="S43" s="108"/>
      <c r="T43" s="108"/>
      <c r="U43" s="108"/>
    </row>
    <row r="44" customFormat="false" ht="13.5" hidden="false" customHeight="true" outlineLevel="0" collapsed="false">
      <c r="B44" s="109" t="s">
        <v>60</v>
      </c>
      <c r="C44" s="110" t="n">
        <f aca="false">'Balance Sheet'!C18</f>
        <v>250</v>
      </c>
      <c r="D44" s="110" t="n">
        <f aca="false">'Balance Sheet'!D18</f>
        <v>325</v>
      </c>
      <c r="E44" s="110" t="n">
        <f aca="false">'Balance Sheet'!E18</f>
        <v>400</v>
      </c>
      <c r="F44" s="111" t="n">
        <f aca="false">'Balance Sheet'!F18</f>
        <v>482.399319913072</v>
      </c>
      <c r="G44" s="111" t="n">
        <f aca="false">'Balance Sheet'!G18</f>
        <v>578.474755757755</v>
      </c>
      <c r="H44" s="111" t="n">
        <f aca="false">'Balance Sheet'!H18</f>
        <v>690.532301305834</v>
      </c>
      <c r="I44" s="111" t="n">
        <f aca="false">'Balance Sheet'!I18</f>
        <v>821.271074616377</v>
      </c>
      <c r="J44" s="111" t="n">
        <f aca="false">'Balance Sheet'!J18</f>
        <v>973.850842418874</v>
      </c>
    </row>
    <row r="45" customFormat="false" ht="13.5" hidden="false" customHeight="true" outlineLevel="0" collapsed="false">
      <c r="B45" s="112" t="s">
        <v>61</v>
      </c>
      <c r="C45" s="113" t="n">
        <f aca="false">'Balance Sheet'!C19</f>
        <v>910</v>
      </c>
      <c r="D45" s="113" t="n">
        <f aca="false">'Balance Sheet'!D19</f>
        <v>1055</v>
      </c>
      <c r="E45" s="113" t="n">
        <f aca="false">'Balance Sheet'!E19</f>
        <v>1305</v>
      </c>
      <c r="F45" s="114" t="n">
        <f aca="false">'Balance Sheet'!F19</f>
        <v>1593.39761969575</v>
      </c>
      <c r="G45" s="114" t="n">
        <f aca="false">'Balance Sheet'!G19</f>
        <v>1929.66164515214</v>
      </c>
      <c r="H45" s="114" t="n">
        <f aca="false">'Balance Sheet'!H19</f>
        <v>2321.86305457042</v>
      </c>
      <c r="I45" s="114" t="n">
        <f aca="false">'Balance Sheet'!I19</f>
        <v>2779.44876115732</v>
      </c>
      <c r="J45" s="115" t="n">
        <f aca="false">'Balance Sheet'!J19</f>
        <v>3313.47794846606</v>
      </c>
      <c r="M45" s="29"/>
      <c r="N45" s="37"/>
      <c r="O45" s="37"/>
      <c r="P45" s="37"/>
      <c r="Q45" s="37"/>
      <c r="R45" s="37"/>
      <c r="S45" s="37"/>
      <c r="T45" s="37"/>
      <c r="U45" s="37"/>
    </row>
    <row r="46" customFormat="false" ht="13.5" hidden="false" customHeight="true" outlineLevel="0" collapsed="false">
      <c r="B46" s="105" t="s">
        <v>62</v>
      </c>
      <c r="C46" s="116" t="n">
        <f aca="false">'Balance Sheet'!C20</f>
        <v>-101.9</v>
      </c>
      <c r="D46" s="116" t="n">
        <f aca="false">'Balance Sheet'!D20</f>
        <v>-225</v>
      </c>
      <c r="E46" s="116" t="n">
        <f aca="false">'Balance Sheet'!E20</f>
        <v>-365</v>
      </c>
      <c r="F46" s="117" t="n">
        <f aca="false">'Balance Sheet'!F20</f>
        <v>-516.533134974646</v>
      </c>
      <c r="G46" s="117" t="n">
        <f aca="false">'Balance Sheet'!G20</f>
        <v>-696.088272070658</v>
      </c>
      <c r="H46" s="117" t="n">
        <f aca="false">'Balance Sheet'!H20</f>
        <v>-908.326859951526</v>
      </c>
      <c r="I46" s="117" t="n">
        <f aca="false">'Balance Sheet'!I20</f>
        <v>-1158.69759004797</v>
      </c>
      <c r="J46" s="117" t="n">
        <f aca="false">'Balance Sheet'!J20</f>
        <v>-1453.57075242014</v>
      </c>
      <c r="M46" s="29"/>
      <c r="N46" s="37"/>
      <c r="O46" s="37"/>
      <c r="P46" s="37"/>
      <c r="Q46" s="37"/>
      <c r="R46" s="37"/>
      <c r="S46" s="37"/>
      <c r="T46" s="37"/>
      <c r="U46" s="37"/>
    </row>
    <row r="47" customFormat="false" ht="13.5" hidden="false" customHeight="true" outlineLevel="0" collapsed="false">
      <c r="B47" s="118" t="s">
        <v>63</v>
      </c>
      <c r="C47" s="90" t="n">
        <f aca="false">'Balance Sheet'!C21</f>
        <v>808.1</v>
      </c>
      <c r="D47" s="90" t="n">
        <f aca="false">'Balance Sheet'!D21</f>
        <v>830</v>
      </c>
      <c r="E47" s="90" t="n">
        <f aca="false">'Balance Sheet'!E21</f>
        <v>940</v>
      </c>
      <c r="F47" s="119" t="n">
        <f aca="false">'Balance Sheet'!F21</f>
        <v>1076.86448472111</v>
      </c>
      <c r="G47" s="119" t="n">
        <f aca="false">'Balance Sheet'!G21</f>
        <v>1233.57337308148</v>
      </c>
      <c r="H47" s="119" t="n">
        <f aca="false">'Balance Sheet'!H21</f>
        <v>1413.53619461889</v>
      </c>
      <c r="I47" s="119" t="n">
        <f aca="false">'Balance Sheet'!I21</f>
        <v>1620.75117110935</v>
      </c>
      <c r="J47" s="120" t="n">
        <f aca="false">'Balance Sheet'!J21</f>
        <v>1859.90719604592</v>
      </c>
      <c r="M47" s="29"/>
      <c r="N47" s="37"/>
      <c r="O47" s="37"/>
      <c r="P47" s="37"/>
      <c r="Q47" s="37"/>
      <c r="R47" s="37"/>
      <c r="S47" s="37"/>
      <c r="T47" s="37"/>
      <c r="U47" s="37"/>
    </row>
    <row r="48" customFormat="false" ht="13.5" hidden="false" customHeight="true" outlineLevel="0" collapsed="false">
      <c r="B48" s="29"/>
      <c r="C48" s="121" t="n">
        <f aca="false">'Balance Sheet'!C22</f>
        <v>0</v>
      </c>
      <c r="D48" s="121" t="n">
        <f aca="false">'Balance Sheet'!D22</f>
        <v>0</v>
      </c>
      <c r="E48" s="121" t="n">
        <f aca="false">'Balance Sheet'!E22</f>
        <v>0</v>
      </c>
      <c r="F48" s="122" t="n">
        <f aca="false">'Balance Sheet'!F22</f>
        <v>0</v>
      </c>
      <c r="G48" s="122" t="n">
        <f aca="false">'Balance Sheet'!G22</f>
        <v>0</v>
      </c>
      <c r="H48" s="122" t="n">
        <f aca="false">'Balance Sheet'!H22</f>
        <v>0</v>
      </c>
      <c r="I48" s="122" t="n">
        <f aca="false">'Balance Sheet'!I22</f>
        <v>0</v>
      </c>
      <c r="J48" s="122" t="n">
        <f aca="false">'Balance Sheet'!J22</f>
        <v>0</v>
      </c>
      <c r="M48" s="123"/>
      <c r="N48" s="37"/>
      <c r="O48" s="37"/>
      <c r="P48" s="37"/>
      <c r="Q48" s="37"/>
      <c r="R48" s="37"/>
      <c r="S48" s="37"/>
      <c r="T48" s="37"/>
      <c r="U48" s="37"/>
    </row>
    <row r="49" customFormat="false" ht="13.5" hidden="false" customHeight="true" outlineLevel="0" collapsed="false">
      <c r="B49" s="81" t="s">
        <v>64</v>
      </c>
      <c r="C49" s="121" t="n">
        <f aca="false">'Balance Sheet'!C23</f>
        <v>0</v>
      </c>
      <c r="D49" s="121" t="n">
        <f aca="false">'Balance Sheet'!D23</f>
        <v>0</v>
      </c>
      <c r="E49" s="121" t="n">
        <f aca="false">'Balance Sheet'!E23</f>
        <v>0</v>
      </c>
      <c r="F49" s="122" t="n">
        <f aca="false">'Balance Sheet'!F23</f>
        <v>0</v>
      </c>
      <c r="G49" s="122" t="n">
        <f aca="false">'Balance Sheet'!G23</f>
        <v>0</v>
      </c>
      <c r="H49" s="122" t="n">
        <f aca="false">'Balance Sheet'!H23</f>
        <v>0</v>
      </c>
      <c r="I49" s="122" t="n">
        <f aca="false">'Balance Sheet'!I23</f>
        <v>0</v>
      </c>
      <c r="J49" s="122" t="n">
        <f aca="false">'Balance Sheet'!J23</f>
        <v>0</v>
      </c>
    </row>
    <row r="50" customFormat="false" ht="13.5" hidden="false" customHeight="true" outlineLevel="0" collapsed="false">
      <c r="B50" s="29" t="s">
        <v>65</v>
      </c>
      <c r="C50" s="90" t="n">
        <f aca="false">'Balance Sheet'!C24</f>
        <v>46.5</v>
      </c>
      <c r="D50" s="90" t="n">
        <f aca="false">'Balance Sheet'!D24</f>
        <v>62.3</v>
      </c>
      <c r="E50" s="90" t="n">
        <f aca="false">'Balance Sheet'!E24</f>
        <v>80</v>
      </c>
      <c r="F50" s="91" t="n">
        <f aca="false">'Balance Sheet'!F24</f>
        <v>99.6637551687059</v>
      </c>
      <c r="G50" s="91" t="n">
        <f aca="false">'Balance Sheet'!G24</f>
        <v>120.954939276269</v>
      </c>
      <c r="H50" s="91" t="n">
        <f aca="false">'Balance Sheet'!H24</f>
        <v>144.156665443267</v>
      </c>
      <c r="I50" s="91" t="n">
        <f aca="false">'Balance Sheet'!I24</f>
        <v>169.601331782829</v>
      </c>
      <c r="J50" s="91" t="n">
        <f aca="false">'Balance Sheet'!J24</f>
        <v>197.679205207073</v>
      </c>
      <c r="M50" s="92"/>
    </row>
    <row r="51" customFormat="false" ht="13.5" hidden="false" customHeight="true" outlineLevel="0" collapsed="false">
      <c r="B51" s="29" t="s">
        <v>66</v>
      </c>
      <c r="C51" s="90" t="n">
        <f aca="false">'Balance Sheet'!C25</f>
        <v>1671.7</v>
      </c>
      <c r="D51" s="90" t="n">
        <f aca="false">'Balance Sheet'!D25</f>
        <v>1671.7</v>
      </c>
      <c r="E51" s="90" t="n">
        <f aca="false">'Balance Sheet'!E25</f>
        <v>1671.7</v>
      </c>
      <c r="F51" s="91" t="n">
        <f aca="false">'Balance Sheet'!F25</f>
        <v>1671.7</v>
      </c>
      <c r="G51" s="91" t="n">
        <f aca="false">'Balance Sheet'!G25</f>
        <v>1671.7</v>
      </c>
      <c r="H51" s="91" t="n">
        <f aca="false">'Balance Sheet'!H25</f>
        <v>1671.7</v>
      </c>
      <c r="I51" s="91" t="n">
        <f aca="false">'Balance Sheet'!I25</f>
        <v>1671.7</v>
      </c>
      <c r="J51" s="91" t="n">
        <f aca="false">'Balance Sheet'!J25</f>
        <v>1671.7</v>
      </c>
      <c r="N51" s="124"/>
      <c r="O51" s="124"/>
      <c r="P51" s="124"/>
      <c r="Q51" s="124"/>
      <c r="R51" s="124"/>
      <c r="S51" s="124"/>
      <c r="T51" s="124"/>
      <c r="U51" s="124"/>
    </row>
    <row r="52" customFormat="false" ht="13.5" hidden="false" customHeight="true" outlineLevel="0" collapsed="false">
      <c r="B52" s="125"/>
      <c r="C52" s="126"/>
      <c r="D52" s="126"/>
      <c r="E52" s="127"/>
      <c r="F52" s="128"/>
      <c r="G52" s="128"/>
      <c r="H52" s="128"/>
      <c r="I52" s="128"/>
      <c r="J52" s="128"/>
      <c r="N52" s="124"/>
      <c r="O52" s="124"/>
      <c r="P52" s="124"/>
      <c r="Q52" s="124"/>
      <c r="R52" s="124"/>
      <c r="S52" s="124"/>
      <c r="T52" s="124"/>
      <c r="U52" s="124"/>
    </row>
    <row r="53" customFormat="false" ht="13.5" hidden="false" customHeight="true" outlineLevel="0" collapsed="false">
      <c r="B53" s="129" t="s">
        <v>67</v>
      </c>
      <c r="C53" s="130" t="n">
        <f aca="false">'Balance Sheet'!C27</f>
        <v>3631.1</v>
      </c>
      <c r="D53" s="130" t="n">
        <f aca="false">'Balance Sheet'!D27</f>
        <v>3786.30834229762</v>
      </c>
      <c r="E53" s="130" t="n">
        <f aca="false">'Balance Sheet'!E27</f>
        <v>3940.7132671456</v>
      </c>
      <c r="F53" s="131" t="n">
        <f aca="false">'Balance Sheet'!F27</f>
        <v>4136.0337230978</v>
      </c>
      <c r="G53" s="131" t="n">
        <f aca="false">'Balance Sheet'!G27</f>
        <v>4473.18907405121</v>
      </c>
      <c r="H53" s="131" t="n">
        <f aca="false">'Balance Sheet'!H27</f>
        <v>5014.72737100315</v>
      </c>
      <c r="I53" s="131" t="n">
        <f aca="false">'Balance Sheet'!I27</f>
        <v>5820.89284593476</v>
      </c>
      <c r="J53" s="131" t="n">
        <f aca="false">'Balance Sheet'!J27</f>
        <v>6800.02844734143</v>
      </c>
    </row>
    <row r="54" customFormat="false" ht="13.5" hidden="false" customHeight="true" outlineLevel="0" collapsed="false">
      <c r="B54" s="132"/>
      <c r="C54" s="133"/>
      <c r="D54" s="133"/>
      <c r="E54" s="134"/>
      <c r="F54" s="133"/>
      <c r="G54" s="133"/>
      <c r="H54" s="133"/>
      <c r="I54" s="133"/>
      <c r="J54" s="133"/>
      <c r="M54" s="92"/>
    </row>
    <row r="55" customFormat="false" ht="13.5" hidden="false" customHeight="true" outlineLevel="0" collapsed="false">
      <c r="B55" s="135" t="s">
        <v>68</v>
      </c>
      <c r="C55" s="136" t="n">
        <f aca="false">'Balance Sheet'!C29</f>
        <v>0</v>
      </c>
      <c r="D55" s="136" t="n">
        <f aca="false">'Balance Sheet'!D29</f>
        <v>0</v>
      </c>
      <c r="E55" s="137" t="n">
        <f aca="false">'Balance Sheet'!E29</f>
        <v>0</v>
      </c>
      <c r="F55" s="138" t="n">
        <f aca="false">'Balance Sheet'!F29</f>
        <v>0</v>
      </c>
      <c r="G55" s="138" t="n">
        <f aca="false">'Balance Sheet'!G29</f>
        <v>0</v>
      </c>
      <c r="H55" s="138" t="n">
        <f aca="false">'Balance Sheet'!H29</f>
        <v>0</v>
      </c>
      <c r="I55" s="138" t="n">
        <f aca="false">'Balance Sheet'!I29</f>
        <v>0</v>
      </c>
      <c r="J55" s="138" t="n">
        <f aca="false">'Balance Sheet'!J29</f>
        <v>0</v>
      </c>
      <c r="N55" s="139"/>
      <c r="O55" s="139"/>
      <c r="P55" s="139"/>
      <c r="Q55" s="139"/>
      <c r="R55" s="139"/>
      <c r="S55" s="139"/>
      <c r="T55" s="139"/>
      <c r="U55" s="139"/>
    </row>
    <row r="56" customFormat="false" ht="13.5" hidden="false" customHeight="true" outlineLevel="0" collapsed="false">
      <c r="B56" s="29" t="s">
        <v>69</v>
      </c>
      <c r="C56" s="17" t="n">
        <f aca="false">'Balance Sheet'!C30</f>
        <v>206.4</v>
      </c>
      <c r="D56" s="17" t="n">
        <f aca="false">'Balance Sheet'!D30</f>
        <v>221.4</v>
      </c>
      <c r="E56" s="17" t="n">
        <f aca="false">'Balance Sheet'!E30</f>
        <v>279.1</v>
      </c>
      <c r="F56" s="18" t="n">
        <f aca="false">'Balance Sheet'!F30</f>
        <v>308.495913257249</v>
      </c>
      <c r="G56" s="18" t="n">
        <f aca="false">'Balance Sheet'!G30</f>
        <v>359.582613299626</v>
      </c>
      <c r="H56" s="18" t="n">
        <f aca="false">'Balance Sheet'!H30</f>
        <v>419.273507194974</v>
      </c>
      <c r="I56" s="18" t="n">
        <f aca="false">'Balance Sheet'!I30</f>
        <v>489.034981098208</v>
      </c>
      <c r="J56" s="18" t="n">
        <f aca="false">'Balance Sheet'!J30</f>
        <v>570.585361887257</v>
      </c>
      <c r="N56" s="139"/>
      <c r="O56" s="139"/>
      <c r="P56" s="139"/>
      <c r="Q56" s="139"/>
      <c r="R56" s="139"/>
      <c r="S56" s="139"/>
      <c r="T56" s="139"/>
      <c r="U56" s="139"/>
    </row>
    <row r="57" customFormat="false" ht="13.5" hidden="false" customHeight="true" outlineLevel="0" collapsed="false">
      <c r="B57" s="29" t="s">
        <v>70</v>
      </c>
      <c r="C57" s="90" t="n">
        <f aca="false">'Balance Sheet'!C31</f>
        <v>180.7</v>
      </c>
      <c r="D57" s="90" t="n">
        <f aca="false">'Balance Sheet'!D31</f>
        <v>161.3</v>
      </c>
      <c r="E57" s="90" t="n">
        <f aca="false">'Balance Sheet'!E31</f>
        <v>176.7</v>
      </c>
      <c r="F57" s="91" t="n">
        <f aca="false">'Balance Sheet'!F31</f>
        <v>200.179570380259</v>
      </c>
      <c r="G57" s="91" t="n">
        <f aca="false">'Balance Sheet'!G31</f>
        <v>233.329162407757</v>
      </c>
      <c r="H57" s="91" t="n">
        <f aca="false">'Balance Sheet'!H31</f>
        <v>272.061920224294</v>
      </c>
      <c r="I57" s="91" t="n">
        <f aca="false">'Balance Sheet'!I31</f>
        <v>317.329365512615</v>
      </c>
      <c r="J57" s="91" t="n">
        <f aca="false">'Balance Sheet'!J31</f>
        <v>370.246501491287</v>
      </c>
      <c r="N57" s="139"/>
      <c r="O57" s="139"/>
      <c r="P57" s="139"/>
      <c r="Q57" s="139"/>
      <c r="R57" s="139"/>
      <c r="S57" s="139"/>
      <c r="T57" s="139"/>
      <c r="U57" s="139"/>
    </row>
    <row r="58" s="2" customFormat="true" ht="13.5" hidden="false" customHeight="true" outlineLevel="0" collapsed="false">
      <c r="B58" s="29" t="s">
        <v>71</v>
      </c>
      <c r="C58" s="90" t="n">
        <f aca="false">'Balance Sheet'!C32</f>
        <v>68.3</v>
      </c>
      <c r="D58" s="90" t="n">
        <f aca="false">'Balance Sheet'!D32</f>
        <v>62.8</v>
      </c>
      <c r="E58" s="90" t="n">
        <f aca="false">'Balance Sheet'!E32</f>
        <v>81.8</v>
      </c>
      <c r="F58" s="91" t="n">
        <f aca="false">'Balance Sheet'!F32</f>
        <v>87.5785620413634</v>
      </c>
      <c r="G58" s="91" t="n">
        <f aca="false">'Balance Sheet'!G32</f>
        <v>102.081508553394</v>
      </c>
      <c r="H58" s="91" t="n">
        <f aca="false">'Balance Sheet'!H32</f>
        <v>119.027090098129</v>
      </c>
      <c r="I58" s="91" t="n">
        <f aca="false">'Balance Sheet'!I32</f>
        <v>138.831597411769</v>
      </c>
      <c r="J58" s="91" t="n">
        <f aca="false">'Balance Sheet'!J32</f>
        <v>161.982844402438</v>
      </c>
    </row>
    <row r="59" customFormat="false" ht="13.5" hidden="false" customHeight="true" outlineLevel="0" collapsed="false">
      <c r="B59" s="95" t="s">
        <v>72</v>
      </c>
      <c r="C59" s="96" t="n">
        <f aca="false">'Balance Sheet'!C33</f>
        <v>455.4</v>
      </c>
      <c r="D59" s="96" t="n">
        <f aca="false">'Balance Sheet'!D33</f>
        <v>445.5</v>
      </c>
      <c r="E59" s="97" t="n">
        <f aca="false">'Balance Sheet'!E33</f>
        <v>537.6</v>
      </c>
      <c r="F59" s="140" t="n">
        <f aca="false">'Balance Sheet'!F33</f>
        <v>596.254045678871</v>
      </c>
      <c r="G59" s="140" t="n">
        <f aca="false">'Balance Sheet'!G33</f>
        <v>694.993284260777</v>
      </c>
      <c r="H59" s="140" t="n">
        <f aca="false">'Balance Sheet'!H33</f>
        <v>810.362517517397</v>
      </c>
      <c r="I59" s="140" t="n">
        <f aca="false">'Balance Sheet'!I33</f>
        <v>945.195944022592</v>
      </c>
      <c r="J59" s="140" t="n">
        <f aca="false">'Balance Sheet'!J33</f>
        <v>1102.81470778098</v>
      </c>
      <c r="N59" s="139"/>
      <c r="O59" s="139"/>
      <c r="P59" s="139"/>
      <c r="Q59" s="139"/>
      <c r="R59" s="139"/>
      <c r="S59" s="139"/>
      <c r="T59" s="139"/>
      <c r="U59" s="139"/>
    </row>
    <row r="60" customFormat="false" ht="13.5" hidden="false" customHeight="true" outlineLevel="0" collapsed="false">
      <c r="C60" s="126"/>
      <c r="D60" s="126"/>
      <c r="E60" s="127"/>
      <c r="F60" s="141"/>
      <c r="G60" s="141"/>
      <c r="H60" s="141"/>
      <c r="I60" s="141"/>
      <c r="J60" s="141"/>
      <c r="N60" s="139"/>
      <c r="O60" s="139"/>
      <c r="P60" s="139"/>
      <c r="Q60" s="139"/>
      <c r="R60" s="139"/>
      <c r="S60" s="139"/>
      <c r="T60" s="139"/>
      <c r="U60" s="139"/>
    </row>
    <row r="61" customFormat="false" ht="13.5" hidden="false" customHeight="true" outlineLevel="0" collapsed="false">
      <c r="B61" s="92" t="s">
        <v>73</v>
      </c>
      <c r="C61" s="142"/>
      <c r="D61" s="142"/>
      <c r="E61" s="143"/>
      <c r="F61" s="144"/>
      <c r="G61" s="144"/>
      <c r="H61" s="144"/>
      <c r="I61" s="144"/>
      <c r="J61" s="144"/>
    </row>
    <row r="62" customFormat="false" ht="13.5" hidden="false" customHeight="true" outlineLevel="0" collapsed="false">
      <c r="B62" s="29" t="s">
        <v>74</v>
      </c>
      <c r="C62" s="121" t="n">
        <f aca="false">'Balance Sheet'!C36</f>
        <v>250</v>
      </c>
      <c r="D62" s="121" t="n">
        <f aca="false">'Balance Sheet'!D36</f>
        <v>150</v>
      </c>
      <c r="E62" s="121" t="n">
        <f aca="false">'Balance Sheet'!E36</f>
        <v>101</v>
      </c>
      <c r="F62" s="91" t="n">
        <f aca="false">'Balance Sheet'!F36</f>
        <v>150.469299830258</v>
      </c>
      <c r="G62" s="91" t="n">
        <f aca="false">'Balance Sheet'!G36</f>
        <v>138.181305645344</v>
      </c>
      <c r="H62" s="91" t="n">
        <f aca="false">'Balance Sheet'!H36</f>
        <v>0</v>
      </c>
      <c r="I62" s="91" t="n">
        <f aca="false">'Balance Sheet'!I36</f>
        <v>0</v>
      </c>
      <c r="J62" s="91" t="n">
        <f aca="false">'Balance Sheet'!J36</f>
        <v>0</v>
      </c>
      <c r="M62" s="92"/>
    </row>
    <row r="63" customFormat="false" ht="13.5" hidden="false" customHeight="true" outlineLevel="0" collapsed="false">
      <c r="B63" s="29" t="s">
        <v>75</v>
      </c>
      <c r="C63" s="90" t="n">
        <f aca="false">'Balance Sheet'!C37</f>
        <v>2200</v>
      </c>
      <c r="D63" s="90" t="n">
        <f aca="false">'Balance Sheet'!D37</f>
        <v>1990</v>
      </c>
      <c r="E63" s="90" t="n">
        <f aca="false">'Balance Sheet'!E37</f>
        <v>1635</v>
      </c>
      <c r="F63" s="91" t="n">
        <f aca="false">'Balance Sheet'!F37</f>
        <v>1335</v>
      </c>
      <c r="G63" s="91" t="n">
        <f aca="false">'Balance Sheet'!G37</f>
        <v>1135</v>
      </c>
      <c r="H63" s="91" t="n">
        <f aca="false">'Balance Sheet'!H37</f>
        <v>1035</v>
      </c>
      <c r="I63" s="91" t="n">
        <f aca="false">'Balance Sheet'!I37</f>
        <v>985</v>
      </c>
      <c r="J63" s="91" t="n">
        <f aca="false">'Balance Sheet'!J37</f>
        <v>935</v>
      </c>
      <c r="N63" s="139"/>
      <c r="O63" s="139"/>
      <c r="P63" s="139"/>
      <c r="Q63" s="139"/>
      <c r="R63" s="139"/>
      <c r="S63" s="139"/>
      <c r="T63" s="139"/>
      <c r="U63" s="139"/>
    </row>
    <row r="64" customFormat="false" ht="13.5" hidden="false" customHeight="true" outlineLevel="0" collapsed="false">
      <c r="B64" s="145" t="s">
        <v>76</v>
      </c>
      <c r="C64" s="96" t="n">
        <f aca="false">'Balance Sheet'!C38</f>
        <v>2450</v>
      </c>
      <c r="D64" s="96" t="n">
        <f aca="false">'Balance Sheet'!D38</f>
        <v>2140</v>
      </c>
      <c r="E64" s="97" t="n">
        <f aca="false">'Balance Sheet'!E38</f>
        <v>1736</v>
      </c>
      <c r="F64" s="140" t="n">
        <f aca="false">'Balance Sheet'!F38</f>
        <v>1485.46929983026</v>
      </c>
      <c r="G64" s="140" t="n">
        <f aca="false">'Balance Sheet'!G38</f>
        <v>1273.18130564534</v>
      </c>
      <c r="H64" s="140" t="n">
        <f aca="false">'Balance Sheet'!H38</f>
        <v>1035</v>
      </c>
      <c r="I64" s="140" t="n">
        <f aca="false">'Balance Sheet'!I38</f>
        <v>985</v>
      </c>
      <c r="J64" s="140" t="n">
        <f aca="false">'Balance Sheet'!J38</f>
        <v>935</v>
      </c>
      <c r="N64" s="124"/>
      <c r="O64" s="124"/>
      <c r="P64" s="124"/>
      <c r="Q64" s="124"/>
      <c r="R64" s="124"/>
      <c r="S64" s="124"/>
      <c r="T64" s="124"/>
      <c r="U64" s="124"/>
    </row>
    <row r="65" customFormat="false" ht="13.5" hidden="false" customHeight="true" outlineLevel="0" collapsed="false">
      <c r="C65" s="126"/>
      <c r="D65" s="126"/>
      <c r="E65" s="127"/>
      <c r="F65" s="141"/>
      <c r="G65" s="141"/>
      <c r="H65" s="141"/>
      <c r="I65" s="141"/>
      <c r="J65" s="141"/>
      <c r="N65" s="124"/>
      <c r="O65" s="124"/>
      <c r="P65" s="124"/>
      <c r="Q65" s="124"/>
      <c r="R65" s="124"/>
      <c r="S65" s="124"/>
      <c r="T65" s="124"/>
      <c r="U65" s="124"/>
    </row>
    <row r="66" customFormat="false" ht="13.5" hidden="false" customHeight="true" outlineLevel="0" collapsed="false">
      <c r="B66" s="29" t="s">
        <v>77</v>
      </c>
      <c r="C66" s="90" t="n">
        <f aca="false">'Balance Sheet'!C40</f>
        <v>153</v>
      </c>
      <c r="D66" s="90" t="n">
        <f aca="false">'Balance Sheet'!D40</f>
        <v>157.3</v>
      </c>
      <c r="E66" s="90" t="n">
        <f aca="false">'Balance Sheet'!E40</f>
        <v>187.1</v>
      </c>
      <c r="F66" s="91" t="n">
        <f aca="false">'Balance Sheet'!F40</f>
        <v>187.1</v>
      </c>
      <c r="G66" s="91" t="n">
        <f aca="false">'Balance Sheet'!G40</f>
        <v>187.1</v>
      </c>
      <c r="H66" s="91" t="n">
        <f aca="false">'Balance Sheet'!H40</f>
        <v>187.1</v>
      </c>
      <c r="I66" s="91" t="n">
        <f aca="false">'Balance Sheet'!I40</f>
        <v>187.1</v>
      </c>
      <c r="J66" s="91" t="n">
        <f aca="false">'Balance Sheet'!J40</f>
        <v>187.1</v>
      </c>
      <c r="N66" s="139"/>
      <c r="O66" s="139"/>
      <c r="P66" s="139"/>
      <c r="Q66" s="139"/>
      <c r="R66" s="139"/>
      <c r="S66" s="139"/>
      <c r="T66" s="139"/>
      <c r="U66" s="139"/>
    </row>
    <row r="67" customFormat="false" ht="13.5" hidden="false" customHeight="true" outlineLevel="0" collapsed="false">
      <c r="B67" s="29" t="s">
        <v>78</v>
      </c>
      <c r="C67" s="90" t="n">
        <f aca="false">'Balance Sheet'!C41</f>
        <v>72.7</v>
      </c>
      <c r="D67" s="90" t="n">
        <f aca="false">'Balance Sheet'!D41</f>
        <v>54.4</v>
      </c>
      <c r="E67" s="90" t="n">
        <f aca="false">'Balance Sheet'!E41</f>
        <v>60.6</v>
      </c>
      <c r="F67" s="91" t="n">
        <f aca="false">'Balance Sheet'!F41</f>
        <v>60.6</v>
      </c>
      <c r="G67" s="91" t="n">
        <f aca="false">'Balance Sheet'!G41</f>
        <v>60.6</v>
      </c>
      <c r="H67" s="91" t="n">
        <f aca="false">'Balance Sheet'!H41</f>
        <v>60.6</v>
      </c>
      <c r="I67" s="91" t="n">
        <f aca="false">'Balance Sheet'!I41</f>
        <v>60.6</v>
      </c>
      <c r="J67" s="91" t="n">
        <f aca="false">'Balance Sheet'!J41</f>
        <v>60.6</v>
      </c>
    </row>
    <row r="68" customFormat="false" ht="13.5" hidden="false" customHeight="true" outlineLevel="0" collapsed="false">
      <c r="B68" s="29"/>
      <c r="C68" s="146"/>
      <c r="D68" s="146"/>
      <c r="E68" s="147"/>
      <c r="F68" s="144"/>
      <c r="G68" s="144"/>
      <c r="H68" s="144"/>
      <c r="I68" s="144"/>
      <c r="J68" s="144"/>
      <c r="M68" s="92"/>
    </row>
    <row r="69" customFormat="false" ht="13.5" hidden="false" customHeight="true" outlineLevel="0" collapsed="false">
      <c r="B69" s="148" t="s">
        <v>79</v>
      </c>
      <c r="C69" s="90" t="n">
        <f aca="false">'Balance Sheet'!C43</f>
        <v>1000</v>
      </c>
      <c r="D69" s="90" t="n">
        <f aca="false">'Balance Sheet'!D43</f>
        <v>1000</v>
      </c>
      <c r="E69" s="90" t="n">
        <f aca="false">'Balance Sheet'!E43</f>
        <v>1000</v>
      </c>
      <c r="F69" s="91" t="n">
        <f aca="false">'Balance Sheet'!F43</f>
        <v>1000</v>
      </c>
      <c r="G69" s="91" t="n">
        <f aca="false">'Balance Sheet'!G43</f>
        <v>1000</v>
      </c>
      <c r="H69" s="91" t="n">
        <f aca="false">'Balance Sheet'!H43</f>
        <v>1000</v>
      </c>
      <c r="I69" s="91" t="n">
        <f aca="false">'Balance Sheet'!I43</f>
        <v>1000</v>
      </c>
      <c r="J69" s="91" t="n">
        <f aca="false">'Balance Sheet'!J43</f>
        <v>1000</v>
      </c>
      <c r="N69" s="124"/>
      <c r="O69" s="124"/>
      <c r="P69" s="124"/>
      <c r="Q69" s="124"/>
      <c r="R69" s="124"/>
      <c r="S69" s="124"/>
      <c r="T69" s="124"/>
      <c r="U69" s="124"/>
    </row>
    <row r="70" customFormat="false" ht="13.5" hidden="false" customHeight="true" outlineLevel="0" collapsed="false">
      <c r="B70" s="148" t="s">
        <v>80</v>
      </c>
      <c r="C70" s="90" t="n">
        <f aca="false">'Balance Sheet'!C44</f>
        <v>-1500</v>
      </c>
      <c r="D70" s="90" t="n">
        <f aca="false">'Balance Sheet'!D44</f>
        <v>-1575</v>
      </c>
      <c r="E70" s="90" t="n">
        <f aca="false">'Balance Sheet'!E44</f>
        <v>-1655</v>
      </c>
      <c r="F70" s="91" t="n">
        <f aca="false">'Balance Sheet'!F44</f>
        <v>-1755</v>
      </c>
      <c r="G70" s="91" t="n">
        <f aca="false">'Balance Sheet'!G44</f>
        <v>-1855</v>
      </c>
      <c r="H70" s="91" t="n">
        <f aca="false">'Balance Sheet'!H44</f>
        <v>-1955</v>
      </c>
      <c r="I70" s="91" t="n">
        <f aca="false">'Balance Sheet'!I44</f>
        <v>-2055</v>
      </c>
      <c r="J70" s="91" t="n">
        <f aca="false">'Balance Sheet'!J44</f>
        <v>-2155</v>
      </c>
      <c r="N70" s="124"/>
      <c r="O70" s="124"/>
      <c r="P70" s="124"/>
      <c r="Q70" s="124"/>
      <c r="R70" s="124"/>
      <c r="S70" s="124"/>
      <c r="T70" s="124"/>
      <c r="U70" s="124"/>
    </row>
    <row r="71" customFormat="false" ht="13.5" hidden="false" customHeight="true" outlineLevel="0" collapsed="false">
      <c r="B71" s="148" t="s">
        <v>81</v>
      </c>
      <c r="C71" s="90" t="n">
        <f aca="false">'Balance Sheet'!C45</f>
        <v>1000</v>
      </c>
      <c r="D71" s="90" t="n">
        <f aca="false">'Balance Sheet'!D45</f>
        <v>1564.10834229762</v>
      </c>
      <c r="E71" s="90" t="n">
        <f aca="false">'Balance Sheet'!E45</f>
        <v>2074.4132671456</v>
      </c>
      <c r="F71" s="91" t="n">
        <f aca="false">'Balance Sheet'!F45</f>
        <v>2561.06212201714</v>
      </c>
      <c r="G71" s="91" t="n">
        <f aca="false">'Balance Sheet'!G45</f>
        <v>3137.46676119675</v>
      </c>
      <c r="H71" s="91" t="n">
        <f aca="false">'Balance Sheet'!H45</f>
        <v>3819.28309602187</v>
      </c>
      <c r="I71" s="91" t="n">
        <f aca="false">'Balance Sheet'!I45</f>
        <v>4624.56394632522</v>
      </c>
      <c r="J71" s="91" t="n">
        <f aca="false">'Balance Sheet'!J45</f>
        <v>5573.27893895244</v>
      </c>
      <c r="N71" s="108"/>
      <c r="O71" s="108"/>
      <c r="P71" s="108"/>
      <c r="Q71" s="108"/>
      <c r="R71" s="108"/>
      <c r="S71" s="108"/>
      <c r="T71" s="108"/>
      <c r="U71" s="108"/>
    </row>
    <row r="72" customFormat="false" ht="13.5" hidden="false" customHeight="true" outlineLevel="0" collapsed="false">
      <c r="B72" s="148" t="s">
        <v>82</v>
      </c>
      <c r="C72" s="90" t="n">
        <f aca="false">'Balance Sheet'!C46</f>
        <v>0</v>
      </c>
      <c r="D72" s="90" t="n">
        <f aca="false">'Balance Sheet'!D46</f>
        <v>0</v>
      </c>
      <c r="E72" s="90" t="n">
        <f aca="false">'Balance Sheet'!E46</f>
        <v>0</v>
      </c>
      <c r="F72" s="91" t="n">
        <f aca="false">'Balance Sheet'!F46</f>
        <v>0</v>
      </c>
      <c r="G72" s="91" t="n">
        <f aca="false">'Balance Sheet'!G46</f>
        <v>0</v>
      </c>
      <c r="H72" s="91" t="n">
        <f aca="false">'Balance Sheet'!H46</f>
        <v>0</v>
      </c>
      <c r="I72" s="91" t="n">
        <f aca="false">'Balance Sheet'!I46</f>
        <v>0</v>
      </c>
      <c r="J72" s="91" t="n">
        <f aca="false">'Balance Sheet'!J46</f>
        <v>0</v>
      </c>
    </row>
    <row r="73" customFormat="false" ht="13.5" hidden="false" customHeight="true" outlineLevel="0" collapsed="false">
      <c r="B73" s="92" t="s">
        <v>83</v>
      </c>
      <c r="C73" s="149" t="n">
        <f aca="false">'Balance Sheet'!C47</f>
        <v>500</v>
      </c>
      <c r="D73" s="149" t="n">
        <f aca="false">'Balance Sheet'!D47</f>
        <v>989.10834229762</v>
      </c>
      <c r="E73" s="149" t="n">
        <f aca="false">'Balance Sheet'!E47</f>
        <v>1419.4132671456</v>
      </c>
      <c r="F73" s="150" t="n">
        <f aca="false">'Balance Sheet'!F47</f>
        <v>1806.06212201714</v>
      </c>
      <c r="G73" s="150" t="n">
        <f aca="false">'Balance Sheet'!G47</f>
        <v>2282.46676119675</v>
      </c>
      <c r="H73" s="150" t="n">
        <f aca="false">'Balance Sheet'!H47</f>
        <v>2864.28309602187</v>
      </c>
      <c r="I73" s="150" t="n">
        <f aca="false">'Balance Sheet'!I47</f>
        <v>3569.56394632522</v>
      </c>
      <c r="J73" s="150" t="n">
        <f aca="false">'Balance Sheet'!J47</f>
        <v>4418.27893895244</v>
      </c>
    </row>
    <row r="74" customFormat="false" ht="13.5" hidden="false" customHeight="true" outlineLevel="0" collapsed="false">
      <c r="C74" s="151"/>
      <c r="D74" s="151"/>
      <c r="E74" s="151"/>
      <c r="F74" s="144"/>
      <c r="G74" s="144"/>
      <c r="H74" s="144"/>
      <c r="I74" s="144"/>
      <c r="J74" s="144"/>
    </row>
    <row r="75" customFormat="false" ht="13.5" hidden="false" customHeight="true" outlineLevel="0" collapsed="false">
      <c r="B75" s="129" t="s">
        <v>84</v>
      </c>
      <c r="C75" s="130" t="n">
        <f aca="false">'Balance Sheet'!C49</f>
        <v>3631.1</v>
      </c>
      <c r="D75" s="130" t="n">
        <f aca="false">'Balance Sheet'!D49</f>
        <v>3786.30834229762</v>
      </c>
      <c r="E75" s="130" t="n">
        <f aca="false">'Balance Sheet'!E49</f>
        <v>3940.7132671456</v>
      </c>
      <c r="F75" s="131" t="n">
        <f aca="false">'Balance Sheet'!F49</f>
        <v>4135.48546752627</v>
      </c>
      <c r="G75" s="131" t="n">
        <f aca="false">'Balance Sheet'!G49</f>
        <v>4498.34135110287</v>
      </c>
      <c r="H75" s="131" t="n">
        <f aca="false">'Balance Sheet'!H49</f>
        <v>4957.34561353926</v>
      </c>
      <c r="I75" s="131" t="n">
        <f aca="false">'Balance Sheet'!I49</f>
        <v>5747.45989034781</v>
      </c>
      <c r="J75" s="131" t="n">
        <f aca="false">'Balance Sheet'!J49</f>
        <v>6703.79364673342</v>
      </c>
    </row>
    <row r="76" customFormat="false" ht="13.5" hidden="false" customHeight="true" outlineLevel="0" collapsed="false"/>
    <row r="77" customFormat="false" ht="13.5" hidden="false" customHeight="true" outlineLevel="0" collapsed="false">
      <c r="C77" s="152"/>
      <c r="D77" s="139"/>
      <c r="E77" s="139"/>
      <c r="F77" s="139"/>
      <c r="G77" s="139"/>
      <c r="H77" s="139"/>
      <c r="I77" s="139"/>
      <c r="J77" s="139"/>
    </row>
    <row r="78" s="2" customFormat="true" ht="13.5" hidden="false" customHeight="true" outlineLevel="0" collapsed="false">
      <c r="B78" s="153"/>
      <c r="C78" s="154"/>
      <c r="D78" s="154"/>
      <c r="E78" s="154"/>
      <c r="F78" s="154"/>
      <c r="G78" s="154"/>
      <c r="H78" s="154"/>
      <c r="I78" s="154"/>
      <c r="J78" s="154"/>
    </row>
    <row r="79" s="2" customFormat="true" ht="13.5" hidden="false" customHeight="true" outlineLevel="0" collapsed="false">
      <c r="B79" s="65" t="s">
        <v>85</v>
      </c>
      <c r="C79" s="155" t="n">
        <f aca="false">'Income Statement'!C24</f>
        <v>99.245</v>
      </c>
      <c r="D79" s="155" t="n">
        <f aca="false">'Income Statement'!D24</f>
        <v>97.995</v>
      </c>
      <c r="E79" s="155" t="n">
        <f aca="false">'Income Statement'!E24</f>
        <v>96.6156896551724</v>
      </c>
      <c r="F79" s="156" t="n">
        <f aca="false">'Income Statement'!F24</f>
        <v>94.9092117580713</v>
      </c>
      <c r="G79" s="156" t="n">
        <f aca="false">'Income Statement'!G24</f>
        <v>93.490004774643</v>
      </c>
      <c r="H79" s="156" t="n">
        <f aca="false">'Income Statement'!H24</f>
        <v>92.3054154471582</v>
      </c>
      <c r="I79" s="156" t="n">
        <f aca="false">'Income Statement'!I24</f>
        <v>91.3132265569107</v>
      </c>
      <c r="J79" s="156" t="n">
        <f aca="false">'Income Statement'!J24</f>
        <v>90.478740986379</v>
      </c>
    </row>
    <row r="80" s="2" customFormat="true" ht="13.5" hidden="false" customHeight="true" outlineLevel="0" collapsed="false">
      <c r="C80" s="124"/>
      <c r="D80" s="124"/>
      <c r="E80" s="124"/>
      <c r="F80" s="124"/>
      <c r="G80" s="124"/>
      <c r="H80" s="124"/>
      <c r="I80" s="124"/>
      <c r="J80" s="124"/>
    </row>
    <row r="81" customFormat="false" ht="13.5" hidden="false" customHeight="true" outlineLevel="0" collapsed="false">
      <c r="B81" s="65" t="s">
        <v>86</v>
      </c>
      <c r="C81" s="124"/>
      <c r="D81" s="124"/>
      <c r="E81" s="124"/>
      <c r="F81" s="124"/>
      <c r="G81" s="124"/>
      <c r="H81" s="124"/>
      <c r="I81" s="124"/>
      <c r="J81" s="124"/>
    </row>
    <row r="82" customFormat="false" ht="13.5" hidden="false" customHeight="true" outlineLevel="0" collapsed="false">
      <c r="B82" s="2" t="s">
        <v>87</v>
      </c>
      <c r="C82" s="155" t="n">
        <f aca="false">'Income Statement'!C26</f>
        <v>7.80478717920298</v>
      </c>
      <c r="D82" s="155" t="n">
        <f aca="false">'Income Statement'!D26</f>
        <v>7.69537570587904</v>
      </c>
      <c r="E82" s="155" t="n">
        <f aca="false">'Income Statement'!E26</f>
        <v>7.66236754599779</v>
      </c>
      <c r="F82" s="156" t="n">
        <f aca="false">'Income Statement'!F26</f>
        <v>7.32502895070271</v>
      </c>
      <c r="G82" s="156" t="n">
        <f aca="false">'Income Statement'!G26</f>
        <v>8.80773569039582</v>
      </c>
      <c r="H82" s="156" t="n">
        <f aca="false">'Income Statement'!H26</f>
        <v>10.5521801606472</v>
      </c>
      <c r="I82" s="156" t="n">
        <f aca="false">'Income Statement'!I26</f>
        <v>12.5984075440338</v>
      </c>
      <c r="J82" s="156" t="n">
        <f aca="false">'Income Statement'!J26</f>
        <v>14.9792883680831</v>
      </c>
    </row>
    <row r="83" customFormat="false" ht="13.5" hidden="false" customHeight="true" outlineLevel="0" collapsed="false">
      <c r="B83" s="2" t="s">
        <v>88</v>
      </c>
      <c r="C83" s="155" t="n">
        <f aca="false">'Balance Sheet'!C7/Dashboard!C79</f>
        <v>0.277092044939292</v>
      </c>
      <c r="D83" s="155" t="n">
        <f aca="false">'Balance Sheet'!D7/Dashboard!D79</f>
        <v>0.87359908462286</v>
      </c>
      <c r="E83" s="155" t="n">
        <f aca="false">'Balance Sheet'!E7/Dashboard!E79</f>
        <v>0.504196236858263</v>
      </c>
      <c r="F83" s="156" t="n">
        <f aca="false">'Balance Sheet'!F7/Dashboard!F79</f>
        <v>0.316091551539505</v>
      </c>
      <c r="G83" s="156" t="n">
        <f aca="false">'Balance Sheet'!G7/Dashboard!G79</f>
        <v>-0.0141292122731546</v>
      </c>
      <c r="H83" s="156" t="n">
        <f aca="false">'Balance Sheet'!H7/Dashboard!H79</f>
        <v>1.29495085708835</v>
      </c>
      <c r="I83" s="156" t="n">
        <f aca="false">'Balance Sheet'!I7/Dashboard!I79</f>
        <v>4.86084286957562</v>
      </c>
      <c r="J83" s="156" t="n">
        <f aca="false">'Balance Sheet'!J7/Dashboard!J79</f>
        <v>9.61027516491152</v>
      </c>
    </row>
    <row r="84" customFormat="false" ht="13.5" hidden="false" customHeight="true" outlineLevel="0" collapsed="false">
      <c r="B84" s="2" t="s">
        <v>89</v>
      </c>
      <c r="C84" s="155" t="n">
        <f aca="false">'Balance Sheet'!C47/Dashboard!C79</f>
        <v>5.03803718071439</v>
      </c>
      <c r="D84" s="155" t="n">
        <f aca="false">'Balance Sheet'!D47/Dashboard!D79</f>
        <v>10.0934572406513</v>
      </c>
      <c r="E84" s="155" t="n">
        <f aca="false">'Balance Sheet'!E47/Dashboard!E79</f>
        <v>14.6913329730562</v>
      </c>
      <c r="F84" s="156" t="n">
        <f aca="false">'Balance Sheet'!F47/Dashboard!F79</f>
        <v>19.0293659441709</v>
      </c>
      <c r="G84" s="156" t="n">
        <f aca="false">'Balance Sheet'!G47/Dashboard!G79</f>
        <v>24.4140190889777</v>
      </c>
      <c r="H84" s="156" t="n">
        <f aca="false">'Balance Sheet'!H47/Dashboard!H79</f>
        <v>31.0304989381861</v>
      </c>
      <c r="I84" s="156" t="n">
        <f aca="false">'Balance Sheet'!I47/Dashboard!I79</f>
        <v>39.091422797337</v>
      </c>
      <c r="J84" s="156" t="n">
        <f aca="false">'Balance Sheet'!J47/Dashboard!J79</f>
        <v>48.8322327519741</v>
      </c>
    </row>
    <row r="85" customFormat="false" ht="13.5" hidden="false" customHeight="true" outlineLevel="0" collapsed="false">
      <c r="B85" s="2" t="s">
        <v>90</v>
      </c>
      <c r="C85" s="155" t="n">
        <f aca="false">'Shareholder''s Equity Forecast'!C7/Dashboard!C79</f>
        <v>1.51141115421432</v>
      </c>
      <c r="D85" s="155" t="n">
        <f aca="false">'Shareholder''s Equity Forecast'!D7/Dashboard!D79</f>
        <v>1.938874432369</v>
      </c>
      <c r="E85" s="155" t="n">
        <f aca="false">'Shareholder''s Equity Forecast'!E7/Dashboard!E79</f>
        <v>2.38056573234518</v>
      </c>
      <c r="F85" s="156" t="n">
        <f aca="false">'Shareholder''s Equity Forecast'!F7/Dashboard!F79</f>
        <v>2.19750845130383</v>
      </c>
      <c r="G85" s="156" t="n">
        <f aca="false">'Shareholder''s Equity Forecast'!G7/Dashboard!G79</f>
        <v>2.64232053730095</v>
      </c>
      <c r="H85" s="156" t="n">
        <f aca="false">'Shareholder''s Equity Forecast'!H7/Dashboard!H79</f>
        <v>3.16565392424473</v>
      </c>
      <c r="I85" s="156" t="n">
        <f aca="false">'Shareholder''s Equity Forecast'!I7/Dashboard!I79</f>
        <v>3.77952217251494</v>
      </c>
      <c r="J85" s="156" t="n">
        <f aca="false">'Shareholder''s Equity Forecast'!J7/Dashboard!J79</f>
        <v>4.49378644380771</v>
      </c>
    </row>
    <row r="87" customFormat="false" ht="13.5" hidden="false" customHeight="true" outlineLevel="0" collapsed="false">
      <c r="B87" s="2" t="s">
        <v>91</v>
      </c>
      <c r="C87" s="157" t="n">
        <f aca="false">'Income Statement'!C23</f>
        <v>0.184290818217066</v>
      </c>
      <c r="D87" s="157" t="n">
        <f aca="false">'Income Statement'!D23</f>
        <v>0.221853419907898</v>
      </c>
      <c r="E87" s="157" t="n">
        <f aca="false">'Income Statement'!E23</f>
        <v>0.256202891831311</v>
      </c>
      <c r="F87" s="158" t="n">
        <f aca="false">'Income Statement'!F23</f>
        <v>0.25</v>
      </c>
      <c r="G87" s="158" t="n">
        <f aca="false">'Income Statement'!G23</f>
        <v>0.25</v>
      </c>
      <c r="H87" s="158" t="n">
        <f aca="false">'Income Statement'!H23</f>
        <v>0.25</v>
      </c>
      <c r="I87" s="158" t="n">
        <f aca="false">'Income Statement'!I23</f>
        <v>0.25</v>
      </c>
      <c r="J87" s="158" t="n">
        <f aca="false">'Income Statement'!J23</f>
        <v>0.25</v>
      </c>
    </row>
    <row r="89" customFormat="false" ht="13.5" hidden="false" customHeight="true" outlineLevel="0" collapsed="false">
      <c r="C89" s="139"/>
      <c r="D89" s="139"/>
      <c r="E89" s="139"/>
      <c r="F89" s="139"/>
      <c r="G89" s="139"/>
      <c r="H89" s="139"/>
      <c r="I89" s="139"/>
      <c r="J89" s="139"/>
    </row>
    <row r="90" customFormat="false" ht="13.5" hidden="false" customHeight="true" outlineLevel="0" collapsed="false">
      <c r="B90" s="65" t="s">
        <v>92</v>
      </c>
      <c r="C90" s="139"/>
      <c r="D90" s="139"/>
      <c r="E90" s="139"/>
      <c r="F90" s="139"/>
      <c r="G90" s="139"/>
      <c r="H90" s="139"/>
      <c r="I90" s="139"/>
      <c r="J90" s="139"/>
    </row>
    <row r="91" customFormat="false" ht="13.5" hidden="false" customHeight="true" outlineLevel="0" collapsed="false">
      <c r="B91" s="2" t="s">
        <v>93</v>
      </c>
      <c r="C91" s="159" t="n">
        <f aca="false">'DCF Valuations'!C33/'Income Statement'!E5</f>
        <v>4.83821746861062</v>
      </c>
    </row>
    <row r="92" customFormat="false" ht="13.5" hidden="false" customHeight="true" outlineLevel="0" collapsed="false">
      <c r="B92" s="2" t="s">
        <v>94</v>
      </c>
      <c r="C92" s="160" t="n">
        <f aca="false">'DCF Valuations'!C33/'Income Statement'!E10</f>
        <v>15.9464388826605</v>
      </c>
      <c r="D92" s="139"/>
      <c r="E92" s="139"/>
      <c r="F92" s="139"/>
      <c r="G92" s="139"/>
      <c r="H92" s="139"/>
      <c r="I92" s="139"/>
      <c r="J92" s="139"/>
    </row>
    <row r="93" customFormat="false" ht="13.5" hidden="false" customHeight="true" outlineLevel="0" collapsed="false">
      <c r="B93" s="2" t="s">
        <v>95</v>
      </c>
      <c r="C93" s="160" t="n">
        <f aca="false">'DCF Valuations'!C41/'Income Statement'!E26</f>
        <v>23.9455690292124</v>
      </c>
      <c r="D93" s="139"/>
      <c r="E93" s="139"/>
      <c r="F93" s="139"/>
      <c r="G93" s="139"/>
      <c r="H93" s="139"/>
      <c r="I93" s="139"/>
      <c r="J93" s="139"/>
    </row>
    <row r="95" customFormat="false" ht="13.5" hidden="false" customHeight="true" outlineLevel="0" collapsed="false">
      <c r="B95" s="65" t="s">
        <v>96</v>
      </c>
      <c r="C95" s="161" t="s">
        <v>97</v>
      </c>
      <c r="D95" s="161" t="s">
        <v>98</v>
      </c>
      <c r="E95" s="161" t="s">
        <v>99</v>
      </c>
    </row>
    <row r="96" customFormat="false" ht="13.5" hidden="false" customHeight="true" outlineLevel="0" collapsed="false">
      <c r="B96" s="162"/>
      <c r="C96" s="163" t="n">
        <f aca="false">'Revenue and Cost Forecast'!E13/'Revenue and Cost Forecast'!E34</f>
        <v>0.601962384565269</v>
      </c>
      <c r="D96" s="163" t="n">
        <f aca="false">'Revenue and Cost Forecast'!E22/'Revenue and Cost Forecast'!E34</f>
        <v>0.137048642354306</v>
      </c>
      <c r="E96" s="163" t="n">
        <f aca="false">'Revenue and Cost Forecast'!E32/'Revenue and Cost Forecast'!E34</f>
        <v>0.260988973080426</v>
      </c>
    </row>
    <row r="97" customFormat="false" ht="13.5" hidden="false" customHeight="true" outlineLevel="0" collapsed="false">
      <c r="B97" s="2" t="s">
        <v>100</v>
      </c>
      <c r="C97" s="139"/>
      <c r="D97" s="139"/>
      <c r="E97" s="139"/>
      <c r="F97" s="139"/>
      <c r="G97" s="139"/>
      <c r="H97" s="139"/>
      <c r="I97" s="139"/>
      <c r="J97" s="139"/>
    </row>
    <row r="98" customFormat="false" ht="13.5" hidden="false" customHeight="true" outlineLevel="0" collapsed="false">
      <c r="B98" s="2" t="s">
        <v>101</v>
      </c>
      <c r="C98" s="157" t="n">
        <f aca="false">'DCF Valuations'!C18</f>
        <v>0.0575416688144659</v>
      </c>
      <c r="D98" s="139"/>
      <c r="E98" s="139"/>
      <c r="F98" s="139"/>
      <c r="G98" s="139"/>
      <c r="H98" s="139"/>
      <c r="I98" s="139"/>
      <c r="J98" s="139"/>
    </row>
    <row r="99" customFormat="false" ht="13.5" hidden="false" customHeight="true" outlineLevel="0" collapsed="false">
      <c r="B99" s="29" t="s">
        <v>102</v>
      </c>
      <c r="C99" s="157" t="n">
        <f aca="false">'DCF Valuations'!C19</f>
        <v>0.01</v>
      </c>
      <c r="D99" s="139"/>
      <c r="E99" s="139"/>
      <c r="F99" s="139"/>
      <c r="G99" s="139"/>
      <c r="H99" s="139"/>
      <c r="I99" s="139"/>
      <c r="J99" s="139"/>
    </row>
    <row r="100" customFormat="false" ht="13.5" hidden="false" customHeight="true" outlineLevel="0" collapsed="false">
      <c r="B100" s="2" t="s">
        <v>103</v>
      </c>
      <c r="C100" s="163" t="n">
        <f aca="false">'Cost of Capital Calculation'!G33</f>
        <v>0.0979862769765981</v>
      </c>
    </row>
    <row r="101" customFormat="false" ht="13.5" hidden="false" customHeight="true" outlineLevel="0" collapsed="false">
      <c r="B101" s="2" t="s">
        <v>104</v>
      </c>
      <c r="C101" s="164" t="n">
        <f aca="false">'DCF Valuations'!C41</f>
        <v>183.479750999887</v>
      </c>
      <c r="D101" s="139"/>
      <c r="E101" s="139"/>
      <c r="F101" s="139"/>
      <c r="G101" s="139"/>
      <c r="H101" s="139"/>
      <c r="I101" s="139"/>
      <c r="J101" s="139"/>
    </row>
    <row r="102" customFormat="false" ht="13.5" hidden="false" customHeight="true" outlineLevel="0" collapsed="false">
      <c r="C102" s="139"/>
      <c r="D102" s="139"/>
      <c r="E102" s="139"/>
      <c r="F102" s="139"/>
      <c r="G102" s="139"/>
      <c r="H102" s="139"/>
      <c r="I102" s="139"/>
      <c r="J102" s="139"/>
    </row>
    <row r="103" customFormat="false" ht="13.5" hidden="false" customHeight="true" outlineLevel="0" collapsed="false">
      <c r="B103" s="165" t="s">
        <v>105</v>
      </c>
      <c r="C103" s="166" t="n">
        <f aca="false">'DCF Valuations'!D41</f>
        <v>194.65550493367</v>
      </c>
      <c r="D103" s="167"/>
      <c r="E103" s="167"/>
      <c r="F103" s="167"/>
      <c r="G103" s="167"/>
      <c r="H103" s="167"/>
      <c r="I103" s="167"/>
      <c r="J103" s="167"/>
    </row>
    <row r="104" customFormat="false" ht="13.5" hidden="false" customHeight="true" outlineLevel="0" collapsed="false">
      <c r="B104" s="2" t="s">
        <v>106</v>
      </c>
      <c r="C104" s="161" t="str">
        <f aca="false">IF(C103&gt;C101*1.05,"BUY",IF(C103&lt;C101*0.95,"SELL","HOLD"))</f>
        <v>BUY</v>
      </c>
    </row>
    <row r="106" customFormat="false" ht="13.5" hidden="false" customHeight="true" outlineLevel="0" collapsed="false">
      <c r="C106" s="139"/>
      <c r="D106" s="139"/>
      <c r="E106" s="139"/>
      <c r="F106" s="139"/>
      <c r="G106" s="139"/>
      <c r="H106" s="139"/>
      <c r="I106" s="139"/>
      <c r="J106" s="139"/>
    </row>
    <row r="107" customFormat="false" ht="13.5" hidden="false" customHeight="true" outlineLevel="0" collapsed="false">
      <c r="C107" s="139"/>
      <c r="D107" s="139"/>
      <c r="E107" s="139"/>
      <c r="F107" s="139"/>
      <c r="G107" s="139"/>
      <c r="H107" s="139"/>
      <c r="I107" s="139"/>
      <c r="J107" s="139"/>
    </row>
    <row r="108" customFormat="false" ht="13.5" hidden="false" customHeight="true" outlineLevel="0" collapsed="false">
      <c r="B108" s="29"/>
      <c r="C108" s="139"/>
      <c r="D108" s="139"/>
      <c r="E108" s="139"/>
      <c r="F108" s="139"/>
      <c r="G108" s="139"/>
      <c r="H108" s="139"/>
      <c r="I108" s="139"/>
      <c r="J108" s="139"/>
    </row>
    <row r="110" customFormat="false" ht="13.5" hidden="false" customHeight="true" outlineLevel="0" collapsed="false">
      <c r="C110" s="139"/>
      <c r="D110" s="139"/>
      <c r="E110" s="139"/>
      <c r="F110" s="139"/>
      <c r="G110" s="139"/>
      <c r="H110" s="139"/>
      <c r="I110" s="139"/>
      <c r="J110" s="139"/>
    </row>
    <row r="111" customFormat="false" ht="13.5" hidden="false" customHeight="true" outlineLevel="0" collapsed="false">
      <c r="B111" s="29"/>
      <c r="C111" s="139"/>
      <c r="D111" s="139"/>
      <c r="E111" s="139"/>
      <c r="F111" s="139"/>
      <c r="G111" s="139"/>
      <c r="H111" s="139"/>
      <c r="I111" s="139"/>
      <c r="J111" s="139"/>
    </row>
    <row r="113" customFormat="false" ht="13.5" hidden="false" customHeight="true" outlineLevel="0" collapsed="false">
      <c r="C113" s="139"/>
      <c r="D113" s="139"/>
      <c r="E113" s="139"/>
      <c r="F113" s="139"/>
      <c r="G113" s="139"/>
      <c r="H113" s="139"/>
      <c r="I113" s="139"/>
      <c r="J113" s="139"/>
    </row>
    <row r="114" customFormat="false" ht="13.5" hidden="false" customHeight="true" outlineLevel="0" collapsed="false">
      <c r="B114" s="29"/>
      <c r="C114" s="139"/>
      <c r="D114" s="139"/>
      <c r="E114" s="139"/>
      <c r="F114" s="139"/>
      <c r="G114" s="139"/>
      <c r="H114" s="139"/>
      <c r="I114" s="139"/>
      <c r="J114" s="139"/>
    </row>
    <row r="115" customFormat="false" ht="13.5" hidden="false" customHeight="true" outlineLevel="0" collapsed="false">
      <c r="C115" s="152"/>
      <c r="D115" s="139"/>
      <c r="E115" s="139"/>
      <c r="F115" s="139"/>
      <c r="G115" s="139"/>
      <c r="H115" s="139"/>
      <c r="I115" s="139"/>
      <c r="J115" s="139"/>
    </row>
    <row r="116" customFormat="false" ht="13.5" hidden="false" customHeight="true" outlineLevel="0" collapsed="false">
      <c r="C116" s="152"/>
      <c r="D116" s="152"/>
      <c r="E116" s="152"/>
      <c r="F116" s="168"/>
      <c r="G116" s="152"/>
      <c r="H116" s="152"/>
      <c r="I116" s="152"/>
      <c r="J116" s="152"/>
    </row>
  </sheetData>
  <mergeCells count="4">
    <mergeCell ref="C3:E3"/>
    <mergeCell ref="F3:J3"/>
    <mergeCell ref="N3:P3"/>
    <mergeCell ref="Q3:U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8C"/>
    <pageSetUpPr fitToPage="false"/>
  </sheetPr>
  <dimension ref="A1:L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11" activePane="bottomLeft" state="frozen"/>
      <selection pane="topLeft" activeCell="A1" activeCellId="0" sqref="A1"/>
      <selection pane="bottomLeft" activeCell="F18" activeCellId="0" sqref="F18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34"/>
    <col collapsed="false" customWidth="true" hidden="false" outlineLevel="0" max="6" min="3" style="2" width="13"/>
    <col collapsed="false" customWidth="true" hidden="false" outlineLevel="0" max="9" min="7" style="2" width="12"/>
    <col collapsed="false" customWidth="true" hidden="false" outlineLevel="0" max="10" min="10" style="2" width="13.11"/>
    <col collapsed="false" customWidth="false" hidden="false" outlineLevel="0" max="254" min="11" style="2" width="9.11"/>
    <col collapsed="false" customWidth="true" hidden="false" outlineLevel="0" max="255" min="255" style="2" width="2.44"/>
    <col collapsed="false" customWidth="true" hidden="false" outlineLevel="0" max="256" min="256" style="2" width="37.56"/>
    <col collapsed="false" customWidth="true" hidden="false" outlineLevel="0" max="260" min="257" style="2" width="11.67"/>
    <col collapsed="false" customWidth="true" hidden="false" outlineLevel="0" max="263" min="261" style="2" width="12"/>
    <col collapsed="false" customWidth="true" hidden="false" outlineLevel="0" max="265" min="264" style="2" width="13.11"/>
    <col collapsed="false" customWidth="true" hidden="false" outlineLevel="0" max="266" min="266" style="2" width="14.88"/>
    <col collapsed="false" customWidth="false" hidden="false" outlineLevel="0" max="510" min="267" style="2" width="9.11"/>
    <col collapsed="false" customWidth="true" hidden="false" outlineLevel="0" max="511" min="511" style="2" width="2.44"/>
    <col collapsed="false" customWidth="true" hidden="false" outlineLevel="0" max="512" min="512" style="2" width="37.56"/>
    <col collapsed="false" customWidth="true" hidden="false" outlineLevel="0" max="516" min="513" style="2" width="11.67"/>
    <col collapsed="false" customWidth="true" hidden="false" outlineLevel="0" max="519" min="517" style="2" width="12"/>
    <col collapsed="false" customWidth="true" hidden="false" outlineLevel="0" max="521" min="520" style="2" width="13.11"/>
    <col collapsed="false" customWidth="true" hidden="false" outlineLevel="0" max="522" min="522" style="2" width="14.88"/>
    <col collapsed="false" customWidth="false" hidden="false" outlineLevel="0" max="766" min="523" style="2" width="9.11"/>
    <col collapsed="false" customWidth="true" hidden="false" outlineLevel="0" max="767" min="767" style="2" width="2.44"/>
    <col collapsed="false" customWidth="true" hidden="false" outlineLevel="0" max="768" min="768" style="2" width="37.56"/>
    <col collapsed="false" customWidth="true" hidden="false" outlineLevel="0" max="772" min="769" style="2" width="11.67"/>
    <col collapsed="false" customWidth="true" hidden="false" outlineLevel="0" max="775" min="773" style="2" width="12"/>
    <col collapsed="false" customWidth="true" hidden="false" outlineLevel="0" max="777" min="776" style="2" width="13.11"/>
    <col collapsed="false" customWidth="true" hidden="false" outlineLevel="0" max="778" min="778" style="2" width="14.88"/>
    <col collapsed="false" customWidth="false" hidden="false" outlineLevel="0" max="1022" min="779" style="2" width="9.11"/>
    <col collapsed="false" customWidth="true" hidden="false" outlineLevel="0" max="1023" min="1023" style="2" width="2.44"/>
    <col collapsed="false" customWidth="true" hidden="false" outlineLevel="0" max="1024" min="1024" style="2" width="37.56"/>
    <col collapsed="false" customWidth="true" hidden="false" outlineLevel="0" max="1028" min="1025" style="2" width="11.67"/>
    <col collapsed="false" customWidth="true" hidden="false" outlineLevel="0" max="1031" min="1029" style="2" width="12"/>
    <col collapsed="false" customWidth="true" hidden="false" outlineLevel="0" max="1033" min="1032" style="2" width="13.11"/>
    <col collapsed="false" customWidth="true" hidden="false" outlineLevel="0" max="1034" min="1034" style="2" width="14.88"/>
    <col collapsed="false" customWidth="false" hidden="false" outlineLevel="0" max="1278" min="1035" style="2" width="9.11"/>
    <col collapsed="false" customWidth="true" hidden="false" outlineLevel="0" max="1279" min="1279" style="2" width="2.44"/>
    <col collapsed="false" customWidth="true" hidden="false" outlineLevel="0" max="1280" min="1280" style="2" width="37.56"/>
    <col collapsed="false" customWidth="true" hidden="false" outlineLevel="0" max="1284" min="1281" style="2" width="11.67"/>
    <col collapsed="false" customWidth="true" hidden="false" outlineLevel="0" max="1287" min="1285" style="2" width="12"/>
    <col collapsed="false" customWidth="true" hidden="false" outlineLevel="0" max="1289" min="1288" style="2" width="13.11"/>
    <col collapsed="false" customWidth="true" hidden="false" outlineLevel="0" max="1290" min="1290" style="2" width="14.88"/>
    <col collapsed="false" customWidth="false" hidden="false" outlineLevel="0" max="1534" min="1291" style="2" width="9.11"/>
    <col collapsed="false" customWidth="true" hidden="false" outlineLevel="0" max="1535" min="1535" style="2" width="2.44"/>
    <col collapsed="false" customWidth="true" hidden="false" outlineLevel="0" max="1536" min="1536" style="2" width="37.56"/>
    <col collapsed="false" customWidth="true" hidden="false" outlineLevel="0" max="1540" min="1537" style="2" width="11.67"/>
    <col collapsed="false" customWidth="true" hidden="false" outlineLevel="0" max="1543" min="1541" style="2" width="12"/>
    <col collapsed="false" customWidth="true" hidden="false" outlineLevel="0" max="1545" min="1544" style="2" width="13.11"/>
    <col collapsed="false" customWidth="true" hidden="false" outlineLevel="0" max="1546" min="1546" style="2" width="14.88"/>
    <col collapsed="false" customWidth="false" hidden="false" outlineLevel="0" max="1790" min="1547" style="2" width="9.11"/>
    <col collapsed="false" customWidth="true" hidden="false" outlineLevel="0" max="1791" min="1791" style="2" width="2.44"/>
    <col collapsed="false" customWidth="true" hidden="false" outlineLevel="0" max="1792" min="1792" style="2" width="37.56"/>
    <col collapsed="false" customWidth="true" hidden="false" outlineLevel="0" max="1796" min="1793" style="2" width="11.67"/>
    <col collapsed="false" customWidth="true" hidden="false" outlineLevel="0" max="1799" min="1797" style="2" width="12"/>
    <col collapsed="false" customWidth="true" hidden="false" outlineLevel="0" max="1801" min="1800" style="2" width="13.11"/>
    <col collapsed="false" customWidth="true" hidden="false" outlineLevel="0" max="1802" min="1802" style="2" width="14.88"/>
    <col collapsed="false" customWidth="false" hidden="false" outlineLevel="0" max="2046" min="1803" style="2" width="9.11"/>
    <col collapsed="false" customWidth="true" hidden="false" outlineLevel="0" max="2047" min="2047" style="2" width="2.44"/>
    <col collapsed="false" customWidth="true" hidden="false" outlineLevel="0" max="2048" min="2048" style="2" width="37.56"/>
    <col collapsed="false" customWidth="true" hidden="false" outlineLevel="0" max="2052" min="2049" style="2" width="11.67"/>
    <col collapsed="false" customWidth="true" hidden="false" outlineLevel="0" max="2055" min="2053" style="2" width="12"/>
    <col collapsed="false" customWidth="true" hidden="false" outlineLevel="0" max="2057" min="2056" style="2" width="13.11"/>
    <col collapsed="false" customWidth="true" hidden="false" outlineLevel="0" max="2058" min="2058" style="2" width="14.88"/>
    <col collapsed="false" customWidth="false" hidden="false" outlineLevel="0" max="2302" min="2059" style="2" width="9.11"/>
    <col collapsed="false" customWidth="true" hidden="false" outlineLevel="0" max="2303" min="2303" style="2" width="2.44"/>
    <col collapsed="false" customWidth="true" hidden="false" outlineLevel="0" max="2304" min="2304" style="2" width="37.56"/>
    <col collapsed="false" customWidth="true" hidden="false" outlineLevel="0" max="2308" min="2305" style="2" width="11.67"/>
    <col collapsed="false" customWidth="true" hidden="false" outlineLevel="0" max="2311" min="2309" style="2" width="12"/>
    <col collapsed="false" customWidth="true" hidden="false" outlineLevel="0" max="2313" min="2312" style="2" width="13.11"/>
    <col collapsed="false" customWidth="true" hidden="false" outlineLevel="0" max="2314" min="2314" style="2" width="14.88"/>
    <col collapsed="false" customWidth="false" hidden="false" outlineLevel="0" max="2558" min="2315" style="2" width="9.11"/>
    <col collapsed="false" customWidth="true" hidden="false" outlineLevel="0" max="2559" min="2559" style="2" width="2.44"/>
    <col collapsed="false" customWidth="true" hidden="false" outlineLevel="0" max="2560" min="2560" style="2" width="37.56"/>
    <col collapsed="false" customWidth="true" hidden="false" outlineLevel="0" max="2564" min="2561" style="2" width="11.67"/>
    <col collapsed="false" customWidth="true" hidden="false" outlineLevel="0" max="2567" min="2565" style="2" width="12"/>
    <col collapsed="false" customWidth="true" hidden="false" outlineLevel="0" max="2569" min="2568" style="2" width="13.11"/>
    <col collapsed="false" customWidth="true" hidden="false" outlineLevel="0" max="2570" min="2570" style="2" width="14.88"/>
    <col collapsed="false" customWidth="false" hidden="false" outlineLevel="0" max="2814" min="2571" style="2" width="9.11"/>
    <col collapsed="false" customWidth="true" hidden="false" outlineLevel="0" max="2815" min="2815" style="2" width="2.44"/>
    <col collapsed="false" customWidth="true" hidden="false" outlineLevel="0" max="2816" min="2816" style="2" width="37.56"/>
    <col collapsed="false" customWidth="true" hidden="false" outlineLevel="0" max="2820" min="2817" style="2" width="11.67"/>
    <col collapsed="false" customWidth="true" hidden="false" outlineLevel="0" max="2823" min="2821" style="2" width="12"/>
    <col collapsed="false" customWidth="true" hidden="false" outlineLevel="0" max="2825" min="2824" style="2" width="13.11"/>
    <col collapsed="false" customWidth="true" hidden="false" outlineLevel="0" max="2826" min="2826" style="2" width="14.88"/>
    <col collapsed="false" customWidth="false" hidden="false" outlineLevel="0" max="3070" min="2827" style="2" width="9.11"/>
    <col collapsed="false" customWidth="true" hidden="false" outlineLevel="0" max="3071" min="3071" style="2" width="2.44"/>
    <col collapsed="false" customWidth="true" hidden="false" outlineLevel="0" max="3072" min="3072" style="2" width="37.56"/>
    <col collapsed="false" customWidth="true" hidden="false" outlineLevel="0" max="3076" min="3073" style="2" width="11.67"/>
    <col collapsed="false" customWidth="true" hidden="false" outlineLevel="0" max="3079" min="3077" style="2" width="12"/>
    <col collapsed="false" customWidth="true" hidden="false" outlineLevel="0" max="3081" min="3080" style="2" width="13.11"/>
    <col collapsed="false" customWidth="true" hidden="false" outlineLevel="0" max="3082" min="3082" style="2" width="14.88"/>
    <col collapsed="false" customWidth="false" hidden="false" outlineLevel="0" max="3326" min="3083" style="2" width="9.11"/>
    <col collapsed="false" customWidth="true" hidden="false" outlineLevel="0" max="3327" min="3327" style="2" width="2.44"/>
    <col collapsed="false" customWidth="true" hidden="false" outlineLevel="0" max="3328" min="3328" style="2" width="37.56"/>
    <col collapsed="false" customWidth="true" hidden="false" outlineLevel="0" max="3332" min="3329" style="2" width="11.67"/>
    <col collapsed="false" customWidth="true" hidden="false" outlineLevel="0" max="3335" min="3333" style="2" width="12"/>
    <col collapsed="false" customWidth="true" hidden="false" outlineLevel="0" max="3337" min="3336" style="2" width="13.11"/>
    <col collapsed="false" customWidth="true" hidden="false" outlineLevel="0" max="3338" min="3338" style="2" width="14.88"/>
    <col collapsed="false" customWidth="false" hidden="false" outlineLevel="0" max="3582" min="3339" style="2" width="9.11"/>
    <col collapsed="false" customWidth="true" hidden="false" outlineLevel="0" max="3583" min="3583" style="2" width="2.44"/>
    <col collapsed="false" customWidth="true" hidden="false" outlineLevel="0" max="3584" min="3584" style="2" width="37.56"/>
    <col collapsed="false" customWidth="true" hidden="false" outlineLevel="0" max="3588" min="3585" style="2" width="11.67"/>
    <col collapsed="false" customWidth="true" hidden="false" outlineLevel="0" max="3591" min="3589" style="2" width="12"/>
    <col collapsed="false" customWidth="true" hidden="false" outlineLevel="0" max="3593" min="3592" style="2" width="13.11"/>
    <col collapsed="false" customWidth="true" hidden="false" outlineLevel="0" max="3594" min="3594" style="2" width="14.88"/>
    <col collapsed="false" customWidth="false" hidden="false" outlineLevel="0" max="3838" min="3595" style="2" width="9.11"/>
    <col collapsed="false" customWidth="true" hidden="false" outlineLevel="0" max="3839" min="3839" style="2" width="2.44"/>
    <col collapsed="false" customWidth="true" hidden="false" outlineLevel="0" max="3840" min="3840" style="2" width="37.56"/>
    <col collapsed="false" customWidth="true" hidden="false" outlineLevel="0" max="3844" min="3841" style="2" width="11.67"/>
    <col collapsed="false" customWidth="true" hidden="false" outlineLevel="0" max="3847" min="3845" style="2" width="12"/>
    <col collapsed="false" customWidth="true" hidden="false" outlineLevel="0" max="3849" min="3848" style="2" width="13.11"/>
    <col collapsed="false" customWidth="true" hidden="false" outlineLevel="0" max="3850" min="3850" style="2" width="14.88"/>
    <col collapsed="false" customWidth="false" hidden="false" outlineLevel="0" max="4094" min="3851" style="2" width="9.11"/>
    <col collapsed="false" customWidth="true" hidden="false" outlineLevel="0" max="4095" min="4095" style="2" width="2.44"/>
    <col collapsed="false" customWidth="true" hidden="false" outlineLevel="0" max="4096" min="4096" style="2" width="37.56"/>
    <col collapsed="false" customWidth="true" hidden="false" outlineLevel="0" max="4100" min="4097" style="2" width="11.67"/>
    <col collapsed="false" customWidth="true" hidden="false" outlineLevel="0" max="4103" min="4101" style="2" width="12"/>
    <col collapsed="false" customWidth="true" hidden="false" outlineLevel="0" max="4105" min="4104" style="2" width="13.11"/>
    <col collapsed="false" customWidth="true" hidden="false" outlineLevel="0" max="4106" min="4106" style="2" width="14.88"/>
    <col collapsed="false" customWidth="false" hidden="false" outlineLevel="0" max="4350" min="4107" style="2" width="9.11"/>
    <col collapsed="false" customWidth="true" hidden="false" outlineLevel="0" max="4351" min="4351" style="2" width="2.44"/>
    <col collapsed="false" customWidth="true" hidden="false" outlineLevel="0" max="4352" min="4352" style="2" width="37.56"/>
    <col collapsed="false" customWidth="true" hidden="false" outlineLevel="0" max="4356" min="4353" style="2" width="11.67"/>
    <col collapsed="false" customWidth="true" hidden="false" outlineLevel="0" max="4359" min="4357" style="2" width="12"/>
    <col collapsed="false" customWidth="true" hidden="false" outlineLevel="0" max="4361" min="4360" style="2" width="13.11"/>
    <col collapsed="false" customWidth="true" hidden="false" outlineLevel="0" max="4362" min="4362" style="2" width="14.88"/>
    <col collapsed="false" customWidth="false" hidden="false" outlineLevel="0" max="4606" min="4363" style="2" width="9.11"/>
    <col collapsed="false" customWidth="true" hidden="false" outlineLevel="0" max="4607" min="4607" style="2" width="2.44"/>
    <col collapsed="false" customWidth="true" hidden="false" outlineLevel="0" max="4608" min="4608" style="2" width="37.56"/>
    <col collapsed="false" customWidth="true" hidden="false" outlineLevel="0" max="4612" min="4609" style="2" width="11.67"/>
    <col collapsed="false" customWidth="true" hidden="false" outlineLevel="0" max="4615" min="4613" style="2" width="12"/>
    <col collapsed="false" customWidth="true" hidden="false" outlineLevel="0" max="4617" min="4616" style="2" width="13.11"/>
    <col collapsed="false" customWidth="true" hidden="false" outlineLevel="0" max="4618" min="4618" style="2" width="14.88"/>
    <col collapsed="false" customWidth="false" hidden="false" outlineLevel="0" max="4862" min="4619" style="2" width="9.11"/>
    <col collapsed="false" customWidth="true" hidden="false" outlineLevel="0" max="4863" min="4863" style="2" width="2.44"/>
    <col collapsed="false" customWidth="true" hidden="false" outlineLevel="0" max="4864" min="4864" style="2" width="37.56"/>
    <col collapsed="false" customWidth="true" hidden="false" outlineLevel="0" max="4868" min="4865" style="2" width="11.67"/>
    <col collapsed="false" customWidth="true" hidden="false" outlineLevel="0" max="4871" min="4869" style="2" width="12"/>
    <col collapsed="false" customWidth="true" hidden="false" outlineLevel="0" max="4873" min="4872" style="2" width="13.11"/>
    <col collapsed="false" customWidth="true" hidden="false" outlineLevel="0" max="4874" min="4874" style="2" width="14.88"/>
    <col collapsed="false" customWidth="false" hidden="false" outlineLevel="0" max="5118" min="4875" style="2" width="9.11"/>
    <col collapsed="false" customWidth="true" hidden="false" outlineLevel="0" max="5119" min="5119" style="2" width="2.44"/>
    <col collapsed="false" customWidth="true" hidden="false" outlineLevel="0" max="5120" min="5120" style="2" width="37.56"/>
    <col collapsed="false" customWidth="true" hidden="false" outlineLevel="0" max="5124" min="5121" style="2" width="11.67"/>
    <col collapsed="false" customWidth="true" hidden="false" outlineLevel="0" max="5127" min="5125" style="2" width="12"/>
    <col collapsed="false" customWidth="true" hidden="false" outlineLevel="0" max="5129" min="5128" style="2" width="13.11"/>
    <col collapsed="false" customWidth="true" hidden="false" outlineLevel="0" max="5130" min="5130" style="2" width="14.88"/>
    <col collapsed="false" customWidth="false" hidden="false" outlineLevel="0" max="5374" min="5131" style="2" width="9.11"/>
    <col collapsed="false" customWidth="true" hidden="false" outlineLevel="0" max="5375" min="5375" style="2" width="2.44"/>
    <col collapsed="false" customWidth="true" hidden="false" outlineLevel="0" max="5376" min="5376" style="2" width="37.56"/>
    <col collapsed="false" customWidth="true" hidden="false" outlineLevel="0" max="5380" min="5377" style="2" width="11.67"/>
    <col collapsed="false" customWidth="true" hidden="false" outlineLevel="0" max="5383" min="5381" style="2" width="12"/>
    <col collapsed="false" customWidth="true" hidden="false" outlineLevel="0" max="5385" min="5384" style="2" width="13.11"/>
    <col collapsed="false" customWidth="true" hidden="false" outlineLevel="0" max="5386" min="5386" style="2" width="14.88"/>
    <col collapsed="false" customWidth="false" hidden="false" outlineLevel="0" max="5630" min="5387" style="2" width="9.11"/>
    <col collapsed="false" customWidth="true" hidden="false" outlineLevel="0" max="5631" min="5631" style="2" width="2.44"/>
    <col collapsed="false" customWidth="true" hidden="false" outlineLevel="0" max="5632" min="5632" style="2" width="37.56"/>
    <col collapsed="false" customWidth="true" hidden="false" outlineLevel="0" max="5636" min="5633" style="2" width="11.67"/>
    <col collapsed="false" customWidth="true" hidden="false" outlineLevel="0" max="5639" min="5637" style="2" width="12"/>
    <col collapsed="false" customWidth="true" hidden="false" outlineLevel="0" max="5641" min="5640" style="2" width="13.11"/>
    <col collapsed="false" customWidth="true" hidden="false" outlineLevel="0" max="5642" min="5642" style="2" width="14.88"/>
    <col collapsed="false" customWidth="false" hidden="false" outlineLevel="0" max="5886" min="5643" style="2" width="9.11"/>
    <col collapsed="false" customWidth="true" hidden="false" outlineLevel="0" max="5887" min="5887" style="2" width="2.44"/>
    <col collapsed="false" customWidth="true" hidden="false" outlineLevel="0" max="5888" min="5888" style="2" width="37.56"/>
    <col collapsed="false" customWidth="true" hidden="false" outlineLevel="0" max="5892" min="5889" style="2" width="11.67"/>
    <col collapsed="false" customWidth="true" hidden="false" outlineLevel="0" max="5895" min="5893" style="2" width="12"/>
    <col collapsed="false" customWidth="true" hidden="false" outlineLevel="0" max="5897" min="5896" style="2" width="13.11"/>
    <col collapsed="false" customWidth="true" hidden="false" outlineLevel="0" max="5898" min="5898" style="2" width="14.88"/>
    <col collapsed="false" customWidth="false" hidden="false" outlineLevel="0" max="6142" min="5899" style="2" width="9.11"/>
    <col collapsed="false" customWidth="true" hidden="false" outlineLevel="0" max="6143" min="6143" style="2" width="2.44"/>
    <col collapsed="false" customWidth="true" hidden="false" outlineLevel="0" max="6144" min="6144" style="2" width="37.56"/>
    <col collapsed="false" customWidth="true" hidden="false" outlineLevel="0" max="6148" min="6145" style="2" width="11.67"/>
    <col collapsed="false" customWidth="true" hidden="false" outlineLevel="0" max="6151" min="6149" style="2" width="12"/>
    <col collapsed="false" customWidth="true" hidden="false" outlineLevel="0" max="6153" min="6152" style="2" width="13.11"/>
    <col collapsed="false" customWidth="true" hidden="false" outlineLevel="0" max="6154" min="6154" style="2" width="14.88"/>
    <col collapsed="false" customWidth="false" hidden="false" outlineLevel="0" max="6398" min="6155" style="2" width="9.11"/>
    <col collapsed="false" customWidth="true" hidden="false" outlineLevel="0" max="6399" min="6399" style="2" width="2.44"/>
    <col collapsed="false" customWidth="true" hidden="false" outlineLevel="0" max="6400" min="6400" style="2" width="37.56"/>
    <col collapsed="false" customWidth="true" hidden="false" outlineLevel="0" max="6404" min="6401" style="2" width="11.67"/>
    <col collapsed="false" customWidth="true" hidden="false" outlineLevel="0" max="6407" min="6405" style="2" width="12"/>
    <col collapsed="false" customWidth="true" hidden="false" outlineLevel="0" max="6409" min="6408" style="2" width="13.11"/>
    <col collapsed="false" customWidth="true" hidden="false" outlineLevel="0" max="6410" min="6410" style="2" width="14.88"/>
    <col collapsed="false" customWidth="false" hidden="false" outlineLevel="0" max="6654" min="6411" style="2" width="9.11"/>
    <col collapsed="false" customWidth="true" hidden="false" outlineLevel="0" max="6655" min="6655" style="2" width="2.44"/>
    <col collapsed="false" customWidth="true" hidden="false" outlineLevel="0" max="6656" min="6656" style="2" width="37.56"/>
    <col collapsed="false" customWidth="true" hidden="false" outlineLevel="0" max="6660" min="6657" style="2" width="11.67"/>
    <col collapsed="false" customWidth="true" hidden="false" outlineLevel="0" max="6663" min="6661" style="2" width="12"/>
    <col collapsed="false" customWidth="true" hidden="false" outlineLevel="0" max="6665" min="6664" style="2" width="13.11"/>
    <col collapsed="false" customWidth="true" hidden="false" outlineLevel="0" max="6666" min="6666" style="2" width="14.88"/>
    <col collapsed="false" customWidth="false" hidden="false" outlineLevel="0" max="6910" min="6667" style="2" width="9.11"/>
    <col collapsed="false" customWidth="true" hidden="false" outlineLevel="0" max="6911" min="6911" style="2" width="2.44"/>
    <col collapsed="false" customWidth="true" hidden="false" outlineLevel="0" max="6912" min="6912" style="2" width="37.56"/>
    <col collapsed="false" customWidth="true" hidden="false" outlineLevel="0" max="6916" min="6913" style="2" width="11.67"/>
    <col collapsed="false" customWidth="true" hidden="false" outlineLevel="0" max="6919" min="6917" style="2" width="12"/>
    <col collapsed="false" customWidth="true" hidden="false" outlineLevel="0" max="6921" min="6920" style="2" width="13.11"/>
    <col collapsed="false" customWidth="true" hidden="false" outlineLevel="0" max="6922" min="6922" style="2" width="14.88"/>
    <col collapsed="false" customWidth="false" hidden="false" outlineLevel="0" max="7166" min="6923" style="2" width="9.11"/>
    <col collapsed="false" customWidth="true" hidden="false" outlineLevel="0" max="7167" min="7167" style="2" width="2.44"/>
    <col collapsed="false" customWidth="true" hidden="false" outlineLevel="0" max="7168" min="7168" style="2" width="37.56"/>
    <col collapsed="false" customWidth="true" hidden="false" outlineLevel="0" max="7172" min="7169" style="2" width="11.67"/>
    <col collapsed="false" customWidth="true" hidden="false" outlineLevel="0" max="7175" min="7173" style="2" width="12"/>
    <col collapsed="false" customWidth="true" hidden="false" outlineLevel="0" max="7177" min="7176" style="2" width="13.11"/>
    <col collapsed="false" customWidth="true" hidden="false" outlineLevel="0" max="7178" min="7178" style="2" width="14.88"/>
    <col collapsed="false" customWidth="false" hidden="false" outlineLevel="0" max="7422" min="7179" style="2" width="9.11"/>
    <col collapsed="false" customWidth="true" hidden="false" outlineLevel="0" max="7423" min="7423" style="2" width="2.44"/>
    <col collapsed="false" customWidth="true" hidden="false" outlineLevel="0" max="7424" min="7424" style="2" width="37.56"/>
    <col collapsed="false" customWidth="true" hidden="false" outlineLevel="0" max="7428" min="7425" style="2" width="11.67"/>
    <col collapsed="false" customWidth="true" hidden="false" outlineLevel="0" max="7431" min="7429" style="2" width="12"/>
    <col collapsed="false" customWidth="true" hidden="false" outlineLevel="0" max="7433" min="7432" style="2" width="13.11"/>
    <col collapsed="false" customWidth="true" hidden="false" outlineLevel="0" max="7434" min="7434" style="2" width="14.88"/>
    <col collapsed="false" customWidth="false" hidden="false" outlineLevel="0" max="7678" min="7435" style="2" width="9.11"/>
    <col collapsed="false" customWidth="true" hidden="false" outlineLevel="0" max="7679" min="7679" style="2" width="2.44"/>
    <col collapsed="false" customWidth="true" hidden="false" outlineLevel="0" max="7680" min="7680" style="2" width="37.56"/>
    <col collapsed="false" customWidth="true" hidden="false" outlineLevel="0" max="7684" min="7681" style="2" width="11.67"/>
    <col collapsed="false" customWidth="true" hidden="false" outlineLevel="0" max="7687" min="7685" style="2" width="12"/>
    <col collapsed="false" customWidth="true" hidden="false" outlineLevel="0" max="7689" min="7688" style="2" width="13.11"/>
    <col collapsed="false" customWidth="true" hidden="false" outlineLevel="0" max="7690" min="7690" style="2" width="14.88"/>
    <col collapsed="false" customWidth="false" hidden="false" outlineLevel="0" max="7934" min="7691" style="2" width="9.11"/>
    <col collapsed="false" customWidth="true" hidden="false" outlineLevel="0" max="7935" min="7935" style="2" width="2.44"/>
    <col collapsed="false" customWidth="true" hidden="false" outlineLevel="0" max="7936" min="7936" style="2" width="37.56"/>
    <col collapsed="false" customWidth="true" hidden="false" outlineLevel="0" max="7940" min="7937" style="2" width="11.67"/>
    <col collapsed="false" customWidth="true" hidden="false" outlineLevel="0" max="7943" min="7941" style="2" width="12"/>
    <col collapsed="false" customWidth="true" hidden="false" outlineLevel="0" max="7945" min="7944" style="2" width="13.11"/>
    <col collapsed="false" customWidth="true" hidden="false" outlineLevel="0" max="7946" min="7946" style="2" width="14.88"/>
    <col collapsed="false" customWidth="false" hidden="false" outlineLevel="0" max="8190" min="7947" style="2" width="9.11"/>
    <col collapsed="false" customWidth="true" hidden="false" outlineLevel="0" max="8191" min="8191" style="2" width="2.44"/>
    <col collapsed="false" customWidth="true" hidden="false" outlineLevel="0" max="8192" min="8192" style="2" width="37.56"/>
    <col collapsed="false" customWidth="true" hidden="false" outlineLevel="0" max="8196" min="8193" style="2" width="11.67"/>
    <col collapsed="false" customWidth="true" hidden="false" outlineLevel="0" max="8199" min="8197" style="2" width="12"/>
    <col collapsed="false" customWidth="true" hidden="false" outlineLevel="0" max="8201" min="8200" style="2" width="13.11"/>
    <col collapsed="false" customWidth="true" hidden="false" outlineLevel="0" max="8202" min="8202" style="2" width="14.88"/>
    <col collapsed="false" customWidth="false" hidden="false" outlineLevel="0" max="8446" min="8203" style="2" width="9.11"/>
    <col collapsed="false" customWidth="true" hidden="false" outlineLevel="0" max="8447" min="8447" style="2" width="2.44"/>
    <col collapsed="false" customWidth="true" hidden="false" outlineLevel="0" max="8448" min="8448" style="2" width="37.56"/>
    <col collapsed="false" customWidth="true" hidden="false" outlineLevel="0" max="8452" min="8449" style="2" width="11.67"/>
    <col collapsed="false" customWidth="true" hidden="false" outlineLevel="0" max="8455" min="8453" style="2" width="12"/>
    <col collapsed="false" customWidth="true" hidden="false" outlineLevel="0" max="8457" min="8456" style="2" width="13.11"/>
    <col collapsed="false" customWidth="true" hidden="false" outlineLevel="0" max="8458" min="8458" style="2" width="14.88"/>
    <col collapsed="false" customWidth="false" hidden="false" outlineLevel="0" max="8702" min="8459" style="2" width="9.11"/>
    <col collapsed="false" customWidth="true" hidden="false" outlineLevel="0" max="8703" min="8703" style="2" width="2.44"/>
    <col collapsed="false" customWidth="true" hidden="false" outlineLevel="0" max="8704" min="8704" style="2" width="37.56"/>
    <col collapsed="false" customWidth="true" hidden="false" outlineLevel="0" max="8708" min="8705" style="2" width="11.67"/>
    <col collapsed="false" customWidth="true" hidden="false" outlineLevel="0" max="8711" min="8709" style="2" width="12"/>
    <col collapsed="false" customWidth="true" hidden="false" outlineLevel="0" max="8713" min="8712" style="2" width="13.11"/>
    <col collapsed="false" customWidth="true" hidden="false" outlineLevel="0" max="8714" min="8714" style="2" width="14.88"/>
    <col collapsed="false" customWidth="false" hidden="false" outlineLevel="0" max="8958" min="8715" style="2" width="9.11"/>
    <col collapsed="false" customWidth="true" hidden="false" outlineLevel="0" max="8959" min="8959" style="2" width="2.44"/>
    <col collapsed="false" customWidth="true" hidden="false" outlineLevel="0" max="8960" min="8960" style="2" width="37.56"/>
    <col collapsed="false" customWidth="true" hidden="false" outlineLevel="0" max="8964" min="8961" style="2" width="11.67"/>
    <col collapsed="false" customWidth="true" hidden="false" outlineLevel="0" max="8967" min="8965" style="2" width="12"/>
    <col collapsed="false" customWidth="true" hidden="false" outlineLevel="0" max="8969" min="8968" style="2" width="13.11"/>
    <col collapsed="false" customWidth="true" hidden="false" outlineLevel="0" max="8970" min="8970" style="2" width="14.88"/>
    <col collapsed="false" customWidth="false" hidden="false" outlineLevel="0" max="9214" min="8971" style="2" width="9.11"/>
    <col collapsed="false" customWidth="true" hidden="false" outlineLevel="0" max="9215" min="9215" style="2" width="2.44"/>
    <col collapsed="false" customWidth="true" hidden="false" outlineLevel="0" max="9216" min="9216" style="2" width="37.56"/>
    <col collapsed="false" customWidth="true" hidden="false" outlineLevel="0" max="9220" min="9217" style="2" width="11.67"/>
    <col collapsed="false" customWidth="true" hidden="false" outlineLevel="0" max="9223" min="9221" style="2" width="12"/>
    <col collapsed="false" customWidth="true" hidden="false" outlineLevel="0" max="9225" min="9224" style="2" width="13.11"/>
    <col collapsed="false" customWidth="true" hidden="false" outlineLevel="0" max="9226" min="9226" style="2" width="14.88"/>
    <col collapsed="false" customWidth="false" hidden="false" outlineLevel="0" max="9470" min="9227" style="2" width="9.11"/>
    <col collapsed="false" customWidth="true" hidden="false" outlineLevel="0" max="9471" min="9471" style="2" width="2.44"/>
    <col collapsed="false" customWidth="true" hidden="false" outlineLevel="0" max="9472" min="9472" style="2" width="37.56"/>
    <col collapsed="false" customWidth="true" hidden="false" outlineLevel="0" max="9476" min="9473" style="2" width="11.67"/>
    <col collapsed="false" customWidth="true" hidden="false" outlineLevel="0" max="9479" min="9477" style="2" width="12"/>
    <col collapsed="false" customWidth="true" hidden="false" outlineLevel="0" max="9481" min="9480" style="2" width="13.11"/>
    <col collapsed="false" customWidth="true" hidden="false" outlineLevel="0" max="9482" min="9482" style="2" width="14.88"/>
    <col collapsed="false" customWidth="false" hidden="false" outlineLevel="0" max="9726" min="9483" style="2" width="9.11"/>
    <col collapsed="false" customWidth="true" hidden="false" outlineLevel="0" max="9727" min="9727" style="2" width="2.44"/>
    <col collapsed="false" customWidth="true" hidden="false" outlineLevel="0" max="9728" min="9728" style="2" width="37.56"/>
    <col collapsed="false" customWidth="true" hidden="false" outlineLevel="0" max="9732" min="9729" style="2" width="11.67"/>
    <col collapsed="false" customWidth="true" hidden="false" outlineLevel="0" max="9735" min="9733" style="2" width="12"/>
    <col collapsed="false" customWidth="true" hidden="false" outlineLevel="0" max="9737" min="9736" style="2" width="13.11"/>
    <col collapsed="false" customWidth="true" hidden="false" outlineLevel="0" max="9738" min="9738" style="2" width="14.88"/>
    <col collapsed="false" customWidth="false" hidden="false" outlineLevel="0" max="9982" min="9739" style="2" width="9.11"/>
    <col collapsed="false" customWidth="true" hidden="false" outlineLevel="0" max="9983" min="9983" style="2" width="2.44"/>
    <col collapsed="false" customWidth="true" hidden="false" outlineLevel="0" max="9984" min="9984" style="2" width="37.56"/>
    <col collapsed="false" customWidth="true" hidden="false" outlineLevel="0" max="9988" min="9985" style="2" width="11.67"/>
    <col collapsed="false" customWidth="true" hidden="false" outlineLevel="0" max="9991" min="9989" style="2" width="12"/>
    <col collapsed="false" customWidth="true" hidden="false" outlineLevel="0" max="9993" min="9992" style="2" width="13.11"/>
    <col collapsed="false" customWidth="true" hidden="false" outlineLevel="0" max="9994" min="9994" style="2" width="14.88"/>
    <col collapsed="false" customWidth="false" hidden="false" outlineLevel="0" max="10238" min="9995" style="2" width="9.11"/>
    <col collapsed="false" customWidth="true" hidden="false" outlineLevel="0" max="10239" min="10239" style="2" width="2.44"/>
    <col collapsed="false" customWidth="true" hidden="false" outlineLevel="0" max="10240" min="10240" style="2" width="37.56"/>
    <col collapsed="false" customWidth="true" hidden="false" outlineLevel="0" max="10244" min="10241" style="2" width="11.67"/>
    <col collapsed="false" customWidth="true" hidden="false" outlineLevel="0" max="10247" min="10245" style="2" width="12"/>
    <col collapsed="false" customWidth="true" hidden="false" outlineLevel="0" max="10249" min="10248" style="2" width="13.11"/>
    <col collapsed="false" customWidth="true" hidden="false" outlineLevel="0" max="10250" min="10250" style="2" width="14.88"/>
    <col collapsed="false" customWidth="false" hidden="false" outlineLevel="0" max="10494" min="10251" style="2" width="9.11"/>
    <col collapsed="false" customWidth="true" hidden="false" outlineLevel="0" max="10495" min="10495" style="2" width="2.44"/>
    <col collapsed="false" customWidth="true" hidden="false" outlineLevel="0" max="10496" min="10496" style="2" width="37.56"/>
    <col collapsed="false" customWidth="true" hidden="false" outlineLevel="0" max="10500" min="10497" style="2" width="11.67"/>
    <col collapsed="false" customWidth="true" hidden="false" outlineLevel="0" max="10503" min="10501" style="2" width="12"/>
    <col collapsed="false" customWidth="true" hidden="false" outlineLevel="0" max="10505" min="10504" style="2" width="13.11"/>
    <col collapsed="false" customWidth="true" hidden="false" outlineLevel="0" max="10506" min="10506" style="2" width="14.88"/>
    <col collapsed="false" customWidth="false" hidden="false" outlineLevel="0" max="10750" min="10507" style="2" width="9.11"/>
    <col collapsed="false" customWidth="true" hidden="false" outlineLevel="0" max="10751" min="10751" style="2" width="2.44"/>
    <col collapsed="false" customWidth="true" hidden="false" outlineLevel="0" max="10752" min="10752" style="2" width="37.56"/>
    <col collapsed="false" customWidth="true" hidden="false" outlineLevel="0" max="10756" min="10753" style="2" width="11.67"/>
    <col collapsed="false" customWidth="true" hidden="false" outlineLevel="0" max="10759" min="10757" style="2" width="12"/>
    <col collapsed="false" customWidth="true" hidden="false" outlineLevel="0" max="10761" min="10760" style="2" width="13.11"/>
    <col collapsed="false" customWidth="true" hidden="false" outlineLevel="0" max="10762" min="10762" style="2" width="14.88"/>
    <col collapsed="false" customWidth="false" hidden="false" outlineLevel="0" max="11006" min="10763" style="2" width="9.11"/>
    <col collapsed="false" customWidth="true" hidden="false" outlineLevel="0" max="11007" min="11007" style="2" width="2.44"/>
    <col collapsed="false" customWidth="true" hidden="false" outlineLevel="0" max="11008" min="11008" style="2" width="37.56"/>
    <col collapsed="false" customWidth="true" hidden="false" outlineLevel="0" max="11012" min="11009" style="2" width="11.67"/>
    <col collapsed="false" customWidth="true" hidden="false" outlineLevel="0" max="11015" min="11013" style="2" width="12"/>
    <col collapsed="false" customWidth="true" hidden="false" outlineLevel="0" max="11017" min="11016" style="2" width="13.11"/>
    <col collapsed="false" customWidth="true" hidden="false" outlineLevel="0" max="11018" min="11018" style="2" width="14.88"/>
    <col collapsed="false" customWidth="false" hidden="false" outlineLevel="0" max="11262" min="11019" style="2" width="9.11"/>
    <col collapsed="false" customWidth="true" hidden="false" outlineLevel="0" max="11263" min="11263" style="2" width="2.44"/>
    <col collapsed="false" customWidth="true" hidden="false" outlineLevel="0" max="11264" min="11264" style="2" width="37.56"/>
    <col collapsed="false" customWidth="true" hidden="false" outlineLevel="0" max="11268" min="11265" style="2" width="11.67"/>
    <col collapsed="false" customWidth="true" hidden="false" outlineLevel="0" max="11271" min="11269" style="2" width="12"/>
    <col collapsed="false" customWidth="true" hidden="false" outlineLevel="0" max="11273" min="11272" style="2" width="13.11"/>
    <col collapsed="false" customWidth="true" hidden="false" outlineLevel="0" max="11274" min="11274" style="2" width="14.88"/>
    <col collapsed="false" customWidth="false" hidden="false" outlineLevel="0" max="11518" min="11275" style="2" width="9.11"/>
    <col collapsed="false" customWidth="true" hidden="false" outlineLevel="0" max="11519" min="11519" style="2" width="2.44"/>
    <col collapsed="false" customWidth="true" hidden="false" outlineLevel="0" max="11520" min="11520" style="2" width="37.56"/>
    <col collapsed="false" customWidth="true" hidden="false" outlineLevel="0" max="11524" min="11521" style="2" width="11.67"/>
    <col collapsed="false" customWidth="true" hidden="false" outlineLevel="0" max="11527" min="11525" style="2" width="12"/>
    <col collapsed="false" customWidth="true" hidden="false" outlineLevel="0" max="11529" min="11528" style="2" width="13.11"/>
    <col collapsed="false" customWidth="true" hidden="false" outlineLevel="0" max="11530" min="11530" style="2" width="14.88"/>
    <col collapsed="false" customWidth="false" hidden="false" outlineLevel="0" max="11774" min="11531" style="2" width="9.11"/>
    <col collapsed="false" customWidth="true" hidden="false" outlineLevel="0" max="11775" min="11775" style="2" width="2.44"/>
    <col collapsed="false" customWidth="true" hidden="false" outlineLevel="0" max="11776" min="11776" style="2" width="37.56"/>
    <col collapsed="false" customWidth="true" hidden="false" outlineLevel="0" max="11780" min="11777" style="2" width="11.67"/>
    <col collapsed="false" customWidth="true" hidden="false" outlineLevel="0" max="11783" min="11781" style="2" width="12"/>
    <col collapsed="false" customWidth="true" hidden="false" outlineLevel="0" max="11785" min="11784" style="2" width="13.11"/>
    <col collapsed="false" customWidth="true" hidden="false" outlineLevel="0" max="11786" min="11786" style="2" width="14.88"/>
    <col collapsed="false" customWidth="false" hidden="false" outlineLevel="0" max="12030" min="11787" style="2" width="9.11"/>
    <col collapsed="false" customWidth="true" hidden="false" outlineLevel="0" max="12031" min="12031" style="2" width="2.44"/>
    <col collapsed="false" customWidth="true" hidden="false" outlineLevel="0" max="12032" min="12032" style="2" width="37.56"/>
    <col collapsed="false" customWidth="true" hidden="false" outlineLevel="0" max="12036" min="12033" style="2" width="11.67"/>
    <col collapsed="false" customWidth="true" hidden="false" outlineLevel="0" max="12039" min="12037" style="2" width="12"/>
    <col collapsed="false" customWidth="true" hidden="false" outlineLevel="0" max="12041" min="12040" style="2" width="13.11"/>
    <col collapsed="false" customWidth="true" hidden="false" outlineLevel="0" max="12042" min="12042" style="2" width="14.88"/>
    <col collapsed="false" customWidth="false" hidden="false" outlineLevel="0" max="12286" min="12043" style="2" width="9.11"/>
    <col collapsed="false" customWidth="true" hidden="false" outlineLevel="0" max="12287" min="12287" style="2" width="2.44"/>
    <col collapsed="false" customWidth="true" hidden="false" outlineLevel="0" max="12288" min="12288" style="2" width="37.56"/>
    <col collapsed="false" customWidth="true" hidden="false" outlineLevel="0" max="12292" min="12289" style="2" width="11.67"/>
    <col collapsed="false" customWidth="true" hidden="false" outlineLevel="0" max="12295" min="12293" style="2" width="12"/>
    <col collapsed="false" customWidth="true" hidden="false" outlineLevel="0" max="12297" min="12296" style="2" width="13.11"/>
    <col collapsed="false" customWidth="true" hidden="false" outlineLevel="0" max="12298" min="12298" style="2" width="14.88"/>
    <col collapsed="false" customWidth="false" hidden="false" outlineLevel="0" max="12542" min="12299" style="2" width="9.11"/>
    <col collapsed="false" customWidth="true" hidden="false" outlineLevel="0" max="12543" min="12543" style="2" width="2.44"/>
    <col collapsed="false" customWidth="true" hidden="false" outlineLevel="0" max="12544" min="12544" style="2" width="37.56"/>
    <col collapsed="false" customWidth="true" hidden="false" outlineLevel="0" max="12548" min="12545" style="2" width="11.67"/>
    <col collapsed="false" customWidth="true" hidden="false" outlineLevel="0" max="12551" min="12549" style="2" width="12"/>
    <col collapsed="false" customWidth="true" hidden="false" outlineLevel="0" max="12553" min="12552" style="2" width="13.11"/>
    <col collapsed="false" customWidth="true" hidden="false" outlineLevel="0" max="12554" min="12554" style="2" width="14.88"/>
    <col collapsed="false" customWidth="false" hidden="false" outlineLevel="0" max="12798" min="12555" style="2" width="9.11"/>
    <col collapsed="false" customWidth="true" hidden="false" outlineLevel="0" max="12799" min="12799" style="2" width="2.44"/>
    <col collapsed="false" customWidth="true" hidden="false" outlineLevel="0" max="12800" min="12800" style="2" width="37.56"/>
    <col collapsed="false" customWidth="true" hidden="false" outlineLevel="0" max="12804" min="12801" style="2" width="11.67"/>
    <col collapsed="false" customWidth="true" hidden="false" outlineLevel="0" max="12807" min="12805" style="2" width="12"/>
    <col collapsed="false" customWidth="true" hidden="false" outlineLevel="0" max="12809" min="12808" style="2" width="13.11"/>
    <col collapsed="false" customWidth="true" hidden="false" outlineLevel="0" max="12810" min="12810" style="2" width="14.88"/>
    <col collapsed="false" customWidth="false" hidden="false" outlineLevel="0" max="13054" min="12811" style="2" width="9.11"/>
    <col collapsed="false" customWidth="true" hidden="false" outlineLevel="0" max="13055" min="13055" style="2" width="2.44"/>
    <col collapsed="false" customWidth="true" hidden="false" outlineLevel="0" max="13056" min="13056" style="2" width="37.56"/>
    <col collapsed="false" customWidth="true" hidden="false" outlineLevel="0" max="13060" min="13057" style="2" width="11.67"/>
    <col collapsed="false" customWidth="true" hidden="false" outlineLevel="0" max="13063" min="13061" style="2" width="12"/>
    <col collapsed="false" customWidth="true" hidden="false" outlineLevel="0" max="13065" min="13064" style="2" width="13.11"/>
    <col collapsed="false" customWidth="true" hidden="false" outlineLevel="0" max="13066" min="13066" style="2" width="14.88"/>
    <col collapsed="false" customWidth="false" hidden="false" outlineLevel="0" max="13310" min="13067" style="2" width="9.11"/>
    <col collapsed="false" customWidth="true" hidden="false" outlineLevel="0" max="13311" min="13311" style="2" width="2.44"/>
    <col collapsed="false" customWidth="true" hidden="false" outlineLevel="0" max="13312" min="13312" style="2" width="37.56"/>
    <col collapsed="false" customWidth="true" hidden="false" outlineLevel="0" max="13316" min="13313" style="2" width="11.67"/>
    <col collapsed="false" customWidth="true" hidden="false" outlineLevel="0" max="13319" min="13317" style="2" width="12"/>
    <col collapsed="false" customWidth="true" hidden="false" outlineLevel="0" max="13321" min="13320" style="2" width="13.11"/>
    <col collapsed="false" customWidth="true" hidden="false" outlineLevel="0" max="13322" min="13322" style="2" width="14.88"/>
    <col collapsed="false" customWidth="false" hidden="false" outlineLevel="0" max="13566" min="13323" style="2" width="9.11"/>
    <col collapsed="false" customWidth="true" hidden="false" outlineLevel="0" max="13567" min="13567" style="2" width="2.44"/>
    <col collapsed="false" customWidth="true" hidden="false" outlineLevel="0" max="13568" min="13568" style="2" width="37.56"/>
    <col collapsed="false" customWidth="true" hidden="false" outlineLevel="0" max="13572" min="13569" style="2" width="11.67"/>
    <col collapsed="false" customWidth="true" hidden="false" outlineLevel="0" max="13575" min="13573" style="2" width="12"/>
    <col collapsed="false" customWidth="true" hidden="false" outlineLevel="0" max="13577" min="13576" style="2" width="13.11"/>
    <col collapsed="false" customWidth="true" hidden="false" outlineLevel="0" max="13578" min="13578" style="2" width="14.88"/>
    <col collapsed="false" customWidth="false" hidden="false" outlineLevel="0" max="13822" min="13579" style="2" width="9.11"/>
    <col collapsed="false" customWidth="true" hidden="false" outlineLevel="0" max="13823" min="13823" style="2" width="2.44"/>
    <col collapsed="false" customWidth="true" hidden="false" outlineLevel="0" max="13824" min="13824" style="2" width="37.56"/>
    <col collapsed="false" customWidth="true" hidden="false" outlineLevel="0" max="13828" min="13825" style="2" width="11.67"/>
    <col collapsed="false" customWidth="true" hidden="false" outlineLevel="0" max="13831" min="13829" style="2" width="12"/>
    <col collapsed="false" customWidth="true" hidden="false" outlineLevel="0" max="13833" min="13832" style="2" width="13.11"/>
    <col collapsed="false" customWidth="true" hidden="false" outlineLevel="0" max="13834" min="13834" style="2" width="14.88"/>
    <col collapsed="false" customWidth="false" hidden="false" outlineLevel="0" max="14078" min="13835" style="2" width="9.11"/>
    <col collapsed="false" customWidth="true" hidden="false" outlineLevel="0" max="14079" min="14079" style="2" width="2.44"/>
    <col collapsed="false" customWidth="true" hidden="false" outlineLevel="0" max="14080" min="14080" style="2" width="37.56"/>
    <col collapsed="false" customWidth="true" hidden="false" outlineLevel="0" max="14084" min="14081" style="2" width="11.67"/>
    <col collapsed="false" customWidth="true" hidden="false" outlineLevel="0" max="14087" min="14085" style="2" width="12"/>
    <col collapsed="false" customWidth="true" hidden="false" outlineLevel="0" max="14089" min="14088" style="2" width="13.11"/>
    <col collapsed="false" customWidth="true" hidden="false" outlineLevel="0" max="14090" min="14090" style="2" width="14.88"/>
    <col collapsed="false" customWidth="false" hidden="false" outlineLevel="0" max="14334" min="14091" style="2" width="9.11"/>
    <col collapsed="false" customWidth="true" hidden="false" outlineLevel="0" max="14335" min="14335" style="2" width="2.44"/>
    <col collapsed="false" customWidth="true" hidden="false" outlineLevel="0" max="14336" min="14336" style="2" width="37.56"/>
    <col collapsed="false" customWidth="true" hidden="false" outlineLevel="0" max="14340" min="14337" style="2" width="11.67"/>
    <col collapsed="false" customWidth="true" hidden="false" outlineLevel="0" max="14343" min="14341" style="2" width="12"/>
    <col collapsed="false" customWidth="true" hidden="false" outlineLevel="0" max="14345" min="14344" style="2" width="13.11"/>
    <col collapsed="false" customWidth="true" hidden="false" outlineLevel="0" max="14346" min="14346" style="2" width="14.88"/>
    <col collapsed="false" customWidth="false" hidden="false" outlineLevel="0" max="14590" min="14347" style="2" width="9.11"/>
    <col collapsed="false" customWidth="true" hidden="false" outlineLevel="0" max="14591" min="14591" style="2" width="2.44"/>
    <col collapsed="false" customWidth="true" hidden="false" outlineLevel="0" max="14592" min="14592" style="2" width="37.56"/>
    <col collapsed="false" customWidth="true" hidden="false" outlineLevel="0" max="14596" min="14593" style="2" width="11.67"/>
    <col collapsed="false" customWidth="true" hidden="false" outlineLevel="0" max="14599" min="14597" style="2" width="12"/>
    <col collapsed="false" customWidth="true" hidden="false" outlineLevel="0" max="14601" min="14600" style="2" width="13.11"/>
    <col collapsed="false" customWidth="true" hidden="false" outlineLevel="0" max="14602" min="14602" style="2" width="14.88"/>
    <col collapsed="false" customWidth="false" hidden="false" outlineLevel="0" max="14846" min="14603" style="2" width="9.11"/>
    <col collapsed="false" customWidth="true" hidden="false" outlineLevel="0" max="14847" min="14847" style="2" width="2.44"/>
    <col collapsed="false" customWidth="true" hidden="false" outlineLevel="0" max="14848" min="14848" style="2" width="37.56"/>
    <col collapsed="false" customWidth="true" hidden="false" outlineLevel="0" max="14852" min="14849" style="2" width="11.67"/>
    <col collapsed="false" customWidth="true" hidden="false" outlineLevel="0" max="14855" min="14853" style="2" width="12"/>
    <col collapsed="false" customWidth="true" hidden="false" outlineLevel="0" max="14857" min="14856" style="2" width="13.11"/>
    <col collapsed="false" customWidth="true" hidden="false" outlineLevel="0" max="14858" min="14858" style="2" width="14.88"/>
    <col collapsed="false" customWidth="false" hidden="false" outlineLevel="0" max="15102" min="14859" style="2" width="9.11"/>
    <col collapsed="false" customWidth="true" hidden="false" outlineLevel="0" max="15103" min="15103" style="2" width="2.44"/>
    <col collapsed="false" customWidth="true" hidden="false" outlineLevel="0" max="15104" min="15104" style="2" width="37.56"/>
    <col collapsed="false" customWidth="true" hidden="false" outlineLevel="0" max="15108" min="15105" style="2" width="11.67"/>
    <col collapsed="false" customWidth="true" hidden="false" outlineLevel="0" max="15111" min="15109" style="2" width="12"/>
    <col collapsed="false" customWidth="true" hidden="false" outlineLevel="0" max="15113" min="15112" style="2" width="13.11"/>
    <col collapsed="false" customWidth="true" hidden="false" outlineLevel="0" max="15114" min="15114" style="2" width="14.88"/>
    <col collapsed="false" customWidth="false" hidden="false" outlineLevel="0" max="15358" min="15115" style="2" width="9.11"/>
    <col collapsed="false" customWidth="true" hidden="false" outlineLevel="0" max="15359" min="15359" style="2" width="2.44"/>
    <col collapsed="false" customWidth="true" hidden="false" outlineLevel="0" max="15360" min="15360" style="2" width="37.56"/>
    <col collapsed="false" customWidth="true" hidden="false" outlineLevel="0" max="15364" min="15361" style="2" width="11.67"/>
    <col collapsed="false" customWidth="true" hidden="false" outlineLevel="0" max="15367" min="15365" style="2" width="12"/>
    <col collapsed="false" customWidth="true" hidden="false" outlineLevel="0" max="15369" min="15368" style="2" width="13.11"/>
    <col collapsed="false" customWidth="true" hidden="false" outlineLevel="0" max="15370" min="15370" style="2" width="14.88"/>
    <col collapsed="false" customWidth="false" hidden="false" outlineLevel="0" max="15614" min="15371" style="2" width="9.11"/>
    <col collapsed="false" customWidth="true" hidden="false" outlineLevel="0" max="15615" min="15615" style="2" width="2.44"/>
    <col collapsed="false" customWidth="true" hidden="false" outlineLevel="0" max="15616" min="15616" style="2" width="37.56"/>
    <col collapsed="false" customWidth="true" hidden="false" outlineLevel="0" max="15620" min="15617" style="2" width="11.67"/>
    <col collapsed="false" customWidth="true" hidden="false" outlineLevel="0" max="15623" min="15621" style="2" width="12"/>
    <col collapsed="false" customWidth="true" hidden="false" outlineLevel="0" max="15625" min="15624" style="2" width="13.11"/>
    <col collapsed="false" customWidth="true" hidden="false" outlineLevel="0" max="15626" min="15626" style="2" width="14.88"/>
    <col collapsed="false" customWidth="false" hidden="false" outlineLevel="0" max="15870" min="15627" style="2" width="9.11"/>
    <col collapsed="false" customWidth="true" hidden="false" outlineLevel="0" max="15871" min="15871" style="2" width="2.44"/>
    <col collapsed="false" customWidth="true" hidden="false" outlineLevel="0" max="15872" min="15872" style="2" width="37.56"/>
    <col collapsed="false" customWidth="true" hidden="false" outlineLevel="0" max="15876" min="15873" style="2" width="11.67"/>
    <col collapsed="false" customWidth="true" hidden="false" outlineLevel="0" max="15879" min="15877" style="2" width="12"/>
    <col collapsed="false" customWidth="true" hidden="false" outlineLevel="0" max="15881" min="15880" style="2" width="13.11"/>
    <col collapsed="false" customWidth="true" hidden="false" outlineLevel="0" max="15882" min="15882" style="2" width="14.88"/>
    <col collapsed="false" customWidth="false" hidden="false" outlineLevel="0" max="16126" min="15883" style="2" width="9.11"/>
    <col collapsed="false" customWidth="true" hidden="false" outlineLevel="0" max="16127" min="16127" style="2" width="2.44"/>
    <col collapsed="false" customWidth="true" hidden="false" outlineLevel="0" max="16128" min="16128" style="2" width="37.56"/>
    <col collapsed="false" customWidth="true" hidden="false" outlineLevel="0" max="16132" min="16129" style="2" width="11.67"/>
    <col collapsed="false" customWidth="true" hidden="false" outlineLevel="0" max="16135" min="16133" style="2" width="12"/>
    <col collapsed="false" customWidth="true" hidden="false" outlineLevel="0" max="16137" min="16136" style="2" width="13.11"/>
    <col collapsed="false" customWidth="true" hidden="false" outlineLevel="0" max="16138" min="16138" style="2" width="14.88"/>
    <col collapsed="false" customWidth="false" hidden="false" outlineLevel="0" max="16384" min="16139" style="2" width="9.11"/>
  </cols>
  <sheetData>
    <row r="1" customFormat="false" ht="21.75" hidden="false" customHeight="true" outlineLevel="0" collapsed="false">
      <c r="A1" s="169" t="s">
        <v>0</v>
      </c>
    </row>
    <row r="2" s="2" customFormat="true" ht="18" hidden="false" customHeight="true" outlineLevel="0" collapsed="false">
      <c r="B2" s="170" t="s">
        <v>1</v>
      </c>
      <c r="C2" s="5"/>
      <c r="D2" s="5"/>
      <c r="E2" s="5"/>
      <c r="F2" s="5"/>
      <c r="G2" s="5"/>
      <c r="H2" s="5"/>
      <c r="I2" s="5"/>
      <c r="J2" s="5"/>
    </row>
    <row r="3" s="2" customFormat="true" ht="13.5" hidden="false" customHeight="true" outlineLevel="0" collapsed="false"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</row>
    <row r="4" s="2" customFormat="true" ht="13.5" hidden="false" customHeight="true" outlineLevel="0" collapsed="false">
      <c r="B4" s="171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</row>
    <row r="5" customFormat="false" ht="13.5" hidden="false" customHeight="true" outlineLevel="0" collapsed="false">
      <c r="B5" s="2" t="s">
        <v>14</v>
      </c>
      <c r="C5" s="17" t="n">
        <v>2904.94</v>
      </c>
      <c r="D5" s="17" t="n">
        <v>3408.0000038</v>
      </c>
      <c r="E5" s="17" t="n">
        <v>3958.95999668</v>
      </c>
      <c r="F5" s="172" t="n">
        <f aca="false">'Revenue and Cost Forecast'!F34</f>
        <v>4119.9659956536</v>
      </c>
      <c r="G5" s="18" t="n">
        <f aca="false">'Revenue and Cost Forecast'!G34</f>
        <v>4803.77179223414</v>
      </c>
      <c r="H5" s="18" t="n">
        <f aca="false">'Revenue and Cost Forecast'!H34</f>
        <v>5602.87727740396</v>
      </c>
      <c r="I5" s="18" t="n">
        <f aca="false">'Revenue and Cost Forecast'!I34</f>
        <v>6536.93866552714</v>
      </c>
      <c r="J5" s="18" t="n">
        <f aca="false">'Revenue and Cost Forecast'!J34</f>
        <v>7628.98839012488</v>
      </c>
    </row>
    <row r="6" customFormat="false" ht="13.5" hidden="false" customHeight="true" outlineLevel="0" collapsed="false">
      <c r="B6" s="2" t="s">
        <v>16</v>
      </c>
      <c r="C6" s="21" t="n">
        <v>1494.8366264</v>
      </c>
      <c r="D6" s="21" t="n">
        <v>1866.124604653</v>
      </c>
      <c r="E6" s="21" t="n">
        <v>2309.7271735372</v>
      </c>
      <c r="F6" s="22" t="n">
        <f aca="false">'Revenue and Cost Forecast'!F50</f>
        <v>2502.24462975324</v>
      </c>
      <c r="G6" s="23" t="n">
        <f aca="false">'Revenue and Cost Forecast'!G50</f>
        <v>2916.61453009697</v>
      </c>
      <c r="H6" s="23" t="n">
        <f aca="false">'Revenue and Cost Forecast'!H50</f>
        <v>3400.77400280368</v>
      </c>
      <c r="I6" s="23" t="n">
        <f aca="false">'Revenue and Cost Forecast'!I50</f>
        <v>3966.61706890769</v>
      </c>
      <c r="J6" s="23" t="n">
        <f aca="false">'Revenue and Cost Forecast'!J50</f>
        <v>4628.08126864108</v>
      </c>
      <c r="L6" s="24"/>
    </row>
    <row r="7" customFormat="false" ht="13.5" hidden="false" customHeight="true" outlineLevel="0" collapsed="false">
      <c r="B7" s="29" t="s">
        <v>18</v>
      </c>
      <c r="C7" s="30" t="n">
        <f aca="false">C5-C6</f>
        <v>1410.1033736</v>
      </c>
      <c r="D7" s="30" t="n">
        <f aca="false">D5-D6</f>
        <v>1541.875399147</v>
      </c>
      <c r="E7" s="30" t="n">
        <f aca="false">E5-E6</f>
        <v>1649.2328231428</v>
      </c>
      <c r="F7" s="173" t="n">
        <f aca="false">F5-F6</f>
        <v>1617.72136590036</v>
      </c>
      <c r="G7" s="32" t="n">
        <f aca="false">G5-G6</f>
        <v>1887.15726213717</v>
      </c>
      <c r="H7" s="32" t="n">
        <f aca="false">H5-H6</f>
        <v>2202.10327460028</v>
      </c>
      <c r="I7" s="32" t="n">
        <f aca="false">I5-I6</f>
        <v>2570.32159661946</v>
      </c>
      <c r="J7" s="32" t="n">
        <f aca="false">J5-J6</f>
        <v>3000.90712148379</v>
      </c>
    </row>
    <row r="8" customFormat="false" ht="13.5" hidden="false" customHeight="true" outlineLevel="0" collapsed="false">
      <c r="F8" s="174"/>
    </row>
    <row r="9" customFormat="false" ht="13.5" hidden="false" customHeight="true" outlineLevel="0" collapsed="false">
      <c r="B9" s="2" t="s">
        <v>21</v>
      </c>
      <c r="C9" s="21" t="n">
        <v>305.14255</v>
      </c>
      <c r="D9" s="21" t="n">
        <v>388.2872</v>
      </c>
      <c r="E9" s="21" t="n">
        <v>448.0675</v>
      </c>
      <c r="F9" s="175" t="n">
        <f aca="false">'Revenue and Cost Forecast'!F65</f>
        <v>463.838682033096</v>
      </c>
      <c r="G9" s="33" t="n">
        <f aca="false">'Revenue and Cost Forecast'!G65</f>
        <v>540.941028441438</v>
      </c>
      <c r="H9" s="33" t="n">
        <f aca="false">'Revenue and Cost Forecast'!H65</f>
        <v>631.059757049454</v>
      </c>
      <c r="I9" s="33" t="n">
        <f aca="false">'Revenue and Cost Forecast'!I65</f>
        <v>736.416066149702</v>
      </c>
      <c r="J9" s="33" t="n">
        <f aca="false">'Revenue and Cost Forecast'!J65</f>
        <v>859.612983746137</v>
      </c>
    </row>
    <row r="10" customFormat="false" ht="13.5" hidden="false" customHeight="true" outlineLevel="0" collapsed="false">
      <c r="B10" s="34" t="s">
        <v>23</v>
      </c>
      <c r="C10" s="35" t="n">
        <f aca="false">C7-C9</f>
        <v>1104.9608236</v>
      </c>
      <c r="D10" s="35" t="n">
        <f aca="false">D7-D9</f>
        <v>1153.588199147</v>
      </c>
      <c r="E10" s="35" t="n">
        <f aca="false">E7-E9</f>
        <v>1201.1653231428</v>
      </c>
      <c r="F10" s="176" t="n">
        <f aca="false">F7-F9</f>
        <v>1153.88268386726</v>
      </c>
      <c r="G10" s="36" t="n">
        <f aca="false">G7-G9</f>
        <v>1346.21623369573</v>
      </c>
      <c r="H10" s="36" t="n">
        <f aca="false">H7-H9</f>
        <v>1571.04351755083</v>
      </c>
      <c r="I10" s="36" t="n">
        <f aca="false">I7-I9</f>
        <v>1833.90553046975</v>
      </c>
      <c r="J10" s="36" t="n">
        <f aca="false">J7-J9</f>
        <v>2141.29413773766</v>
      </c>
    </row>
    <row r="11" customFormat="false" ht="13.5" hidden="false" customHeight="true" outlineLevel="0" collapsed="false">
      <c r="F11" s="177"/>
      <c r="G11" s="37"/>
      <c r="H11" s="37"/>
      <c r="I11" s="37"/>
      <c r="J11" s="37"/>
    </row>
    <row r="12" customFormat="false" ht="13.5" hidden="false" customHeight="true" outlineLevel="0" collapsed="false">
      <c r="B12" s="2" t="s">
        <v>19</v>
      </c>
      <c r="C12" s="178" t="n">
        <v>101.9</v>
      </c>
      <c r="D12" s="178" t="n">
        <v>123.1</v>
      </c>
      <c r="E12" s="178" t="n">
        <v>140</v>
      </c>
      <c r="F12" s="179" t="n">
        <f aca="false">'Depreciation Capex Forecast'!F57</f>
        <v>151.533134974646</v>
      </c>
      <c r="G12" s="44" t="n">
        <f aca="false">'Depreciation Capex Forecast'!G57</f>
        <v>179.555137096012</v>
      </c>
      <c r="H12" s="44" t="n">
        <f aca="false">'Depreciation Capex Forecast'!H57</f>
        <v>212.238587880868</v>
      </c>
      <c r="I12" s="44" t="n">
        <f aca="false">'Depreciation Capex Forecast'!I57</f>
        <v>250.370730096443</v>
      </c>
      <c r="J12" s="44" t="n">
        <f aca="false">'Depreciation Capex Forecast'!J57</f>
        <v>294.873162372172</v>
      </c>
    </row>
    <row r="13" customFormat="false" ht="13.5" hidden="false" customHeight="true" outlineLevel="0" collapsed="false">
      <c r="B13" s="180" t="s">
        <v>20</v>
      </c>
      <c r="C13" s="21" t="n">
        <v>9.367</v>
      </c>
      <c r="D13" s="21" t="n">
        <v>10.666</v>
      </c>
      <c r="E13" s="21" t="n">
        <v>13.035</v>
      </c>
      <c r="F13" s="181" t="n">
        <f aca="false">'Amortization Forecast'!F28</f>
        <v>13.2959727965229</v>
      </c>
      <c r="G13" s="48" t="n">
        <f aca="false">'Amortization Forecast'!G28</f>
        <v>17.1389902303102</v>
      </c>
      <c r="H13" s="48" t="n">
        <f aca="false">'Amortization Forecast'!H28</f>
        <v>21.6212920522334</v>
      </c>
      <c r="I13" s="48" t="n">
        <f aca="false">'Amortization Forecast'!I28</f>
        <v>26.8508429846551</v>
      </c>
      <c r="J13" s="48" t="n">
        <f aca="false">'Amortization Forecast'!J28</f>
        <v>32.954033696755</v>
      </c>
    </row>
    <row r="14" customFormat="false" ht="13.5" hidden="false" customHeight="true" outlineLevel="0" collapsed="false">
      <c r="B14" s="29" t="s">
        <v>27</v>
      </c>
      <c r="C14" s="30" t="n">
        <f aca="false">C10-C12-C13</f>
        <v>993.6938236</v>
      </c>
      <c r="D14" s="30" t="n">
        <f aca="false">D10-D12-D13</f>
        <v>1019.822199147</v>
      </c>
      <c r="E14" s="35" t="n">
        <f aca="false">E10-E12-E13</f>
        <v>1048.1303231428</v>
      </c>
      <c r="F14" s="173" t="n">
        <f aca="false">F10-F12-F13</f>
        <v>989.053576096095</v>
      </c>
      <c r="G14" s="32" t="n">
        <f aca="false">G10-G12-G13</f>
        <v>1149.52210636941</v>
      </c>
      <c r="H14" s="32" t="n">
        <f aca="false">H10-H12-H13</f>
        <v>1337.18363761773</v>
      </c>
      <c r="I14" s="32" t="n">
        <f aca="false">I10-I12-I13</f>
        <v>1556.68395738866</v>
      </c>
      <c r="J14" s="32" t="n">
        <f aca="false">J10-J12-J13</f>
        <v>1813.46694166873</v>
      </c>
    </row>
    <row r="15" customFormat="false" ht="13.5" hidden="false" customHeight="true" outlineLevel="0" collapsed="false">
      <c r="F15" s="177"/>
      <c r="G15" s="37"/>
      <c r="H15" s="37"/>
      <c r="I15" s="37"/>
      <c r="J15" s="37"/>
    </row>
    <row r="16" customFormat="false" ht="13.5" hidden="false" customHeight="true" outlineLevel="0" collapsed="false">
      <c r="B16" s="2" t="s">
        <v>30</v>
      </c>
      <c r="C16" s="21" t="n">
        <v>44.10772</v>
      </c>
      <c r="D16" s="21" t="n">
        <v>60.11464</v>
      </c>
      <c r="E16" s="21" t="n">
        <v>63.765</v>
      </c>
      <c r="F16" s="179" t="n">
        <f aca="false">'Debt Forecast'!F48</f>
        <v>73.1058585158264</v>
      </c>
      <c r="G16" s="44" t="n">
        <f aca="false">'Debt Forecast'!G48</f>
        <v>62.785391479916</v>
      </c>
      <c r="H16" s="44" t="n">
        <f aca="false">'Debt Forecast'!H48</f>
        <v>52.2795326411336</v>
      </c>
      <c r="I16" s="44" t="n">
        <f aca="false">'Debt Forecast'!I48</f>
        <v>45.45</v>
      </c>
      <c r="J16" s="44" t="n">
        <f aca="false">'Debt Forecast'!J48</f>
        <v>43.2</v>
      </c>
    </row>
    <row r="17" customFormat="false" ht="13.5" hidden="false" customHeight="true" outlineLevel="0" collapsed="false">
      <c r="B17" s="2" t="s">
        <v>32</v>
      </c>
      <c r="C17" s="21" t="n">
        <v>0</v>
      </c>
      <c r="D17" s="21" t="n">
        <v>9.400783150617</v>
      </c>
      <c r="E17" s="21" t="n">
        <v>10.9396017051878</v>
      </c>
      <c r="F17" s="179" t="n">
        <f aca="false">'Debt Forecast'!F57</f>
        <v>11.0024821750481</v>
      </c>
      <c r="G17" s="44" t="n">
        <f aca="false">'Debt Forecast'!G57</f>
        <v>11.1768835478496</v>
      </c>
      <c r="H17" s="44" t="n">
        <f aca="false">'Debt Forecast'!H57</f>
        <v>13.7936756426755</v>
      </c>
      <c r="I17" s="44" t="n">
        <f aca="false">'Debt Forecast'!I57</f>
        <v>22.6343289034502</v>
      </c>
      <c r="J17" s="44" t="n">
        <f aca="false">'Debt Forecast'!J57</f>
        <v>36.8092347640668</v>
      </c>
    </row>
    <row r="18" customFormat="false" ht="13.5" hidden="false" customHeight="true" outlineLevel="0" collapsed="false">
      <c r="B18" s="34" t="s">
        <v>34</v>
      </c>
      <c r="C18" s="35" t="n">
        <f aca="false">C14-C16+C17</f>
        <v>949.5861036</v>
      </c>
      <c r="D18" s="35" t="n">
        <f aca="false">D14-D16+D17</f>
        <v>969.108342297617</v>
      </c>
      <c r="E18" s="35" t="n">
        <f aca="false">E14-E16+E17</f>
        <v>995.304924847988</v>
      </c>
      <c r="F18" s="36" t="n">
        <f aca="false">F14-F16+F17</f>
        <v>926.950199755317</v>
      </c>
      <c r="G18" s="36" t="n">
        <f aca="false">G14-G16+G17</f>
        <v>1097.91359843735</v>
      </c>
      <c r="H18" s="36" t="n">
        <f aca="false">H14-H16+H17</f>
        <v>1298.69778061927</v>
      </c>
      <c r="I18" s="36" t="n">
        <f aca="false">I14-I16+I17</f>
        <v>1533.86828629211</v>
      </c>
      <c r="J18" s="36" t="n">
        <f aca="false">J14-J16+J17</f>
        <v>1807.0761764328</v>
      </c>
    </row>
    <row r="19" customFormat="false" ht="13.5" hidden="false" customHeight="true" outlineLevel="0" collapsed="false">
      <c r="F19" s="177"/>
      <c r="G19" s="37"/>
      <c r="H19" s="37"/>
      <c r="I19" s="37"/>
      <c r="J19" s="37"/>
    </row>
    <row r="20" customFormat="false" ht="13.5" hidden="false" customHeight="true" outlineLevel="0" collapsed="false">
      <c r="B20" s="2" t="s">
        <v>36</v>
      </c>
      <c r="C20" s="21" t="n">
        <v>175</v>
      </c>
      <c r="D20" s="21" t="n">
        <v>215</v>
      </c>
      <c r="E20" s="21" t="n">
        <v>255</v>
      </c>
      <c r="F20" s="182" t="n">
        <f aca="false">F18*F23</f>
        <v>231.737549938829</v>
      </c>
      <c r="G20" s="47" t="n">
        <f aca="false">G18*G23</f>
        <v>274.478399609336</v>
      </c>
      <c r="H20" s="47" t="n">
        <f aca="false">H18*H23</f>
        <v>324.674445154818</v>
      </c>
      <c r="I20" s="47" t="n">
        <f aca="false">I18*I23</f>
        <v>383.467071573026</v>
      </c>
      <c r="J20" s="47" t="n">
        <f aca="false">J18*J23</f>
        <v>451.769044108199</v>
      </c>
    </row>
    <row r="21" customFormat="false" ht="13.5" hidden="false" customHeight="true" outlineLevel="0" collapsed="false">
      <c r="B21" s="51" t="s">
        <v>17</v>
      </c>
      <c r="C21" s="183" t="n">
        <f aca="false">C18-C20</f>
        <v>774.5861036</v>
      </c>
      <c r="D21" s="183" t="n">
        <f aca="false">D18-D20</f>
        <v>754.108342297617</v>
      </c>
      <c r="E21" s="183" t="n">
        <f aca="false">E18-E20</f>
        <v>740.304924847988</v>
      </c>
      <c r="F21" s="184" t="n">
        <f aca="false">F18-F20</f>
        <v>695.212649816488</v>
      </c>
      <c r="G21" s="185" t="n">
        <f aca="false">G18-G20</f>
        <v>823.435198828009</v>
      </c>
      <c r="H21" s="185" t="n">
        <f aca="false">H18-H20</f>
        <v>974.023335464453</v>
      </c>
      <c r="I21" s="185" t="n">
        <f aca="false">I18-I20</f>
        <v>1150.40121471908</v>
      </c>
      <c r="J21" s="185" t="n">
        <f aca="false">J18-J20</f>
        <v>1355.3071323246</v>
      </c>
    </row>
    <row r="22" customFormat="false" ht="13.5" hidden="false" customHeight="true" outlineLevel="0" collapsed="false">
      <c r="E22" s="55"/>
      <c r="F22" s="174"/>
    </row>
    <row r="23" customFormat="false" ht="13.5" hidden="false" customHeight="true" outlineLevel="0" collapsed="false">
      <c r="B23" s="186" t="s">
        <v>107</v>
      </c>
      <c r="C23" s="187" t="n">
        <f aca="false">C20/C18</f>
        <v>0.184290818217066</v>
      </c>
      <c r="D23" s="187" t="n">
        <f aca="false">D20/D18</f>
        <v>0.221853419907898</v>
      </c>
      <c r="E23" s="187" t="n">
        <f aca="false">E20/E18</f>
        <v>0.256202891831311</v>
      </c>
      <c r="F23" s="188" t="n">
        <v>0.25</v>
      </c>
      <c r="G23" s="189" t="n">
        <v>0.25</v>
      </c>
      <c r="H23" s="189" t="n">
        <v>0.25</v>
      </c>
      <c r="I23" s="189" t="n">
        <v>0.25</v>
      </c>
      <c r="J23" s="189" t="n">
        <v>0.25</v>
      </c>
    </row>
    <row r="24" customFormat="false" ht="13.5" hidden="false" customHeight="true" outlineLevel="0" collapsed="false">
      <c r="B24" s="180" t="s">
        <v>41</v>
      </c>
      <c r="C24" s="21" t="n">
        <v>99.245</v>
      </c>
      <c r="D24" s="21" t="n">
        <v>97.995</v>
      </c>
      <c r="E24" s="21" t="n">
        <v>96.6156896551724</v>
      </c>
      <c r="F24" s="190" t="n">
        <f aca="false">'Shareholder''s Equity Forecast'!F25</f>
        <v>94.9092117580713</v>
      </c>
      <c r="G24" s="191" t="n">
        <f aca="false">'Shareholder''s Equity Forecast'!G25</f>
        <v>93.490004774643</v>
      </c>
      <c r="H24" s="191" t="n">
        <f aca="false">'Shareholder''s Equity Forecast'!H25</f>
        <v>92.3054154471582</v>
      </c>
      <c r="I24" s="191" t="n">
        <f aca="false">'Shareholder''s Equity Forecast'!I25</f>
        <v>91.3132265569107</v>
      </c>
      <c r="J24" s="191" t="n">
        <f aca="false">'Shareholder''s Equity Forecast'!J25</f>
        <v>90.478740986379</v>
      </c>
    </row>
    <row r="25" customFormat="false" ht="13.5" hidden="false" customHeight="true" outlineLevel="0" collapsed="false">
      <c r="C25" s="152"/>
      <c r="D25" s="152"/>
      <c r="E25" s="152"/>
      <c r="F25" s="192"/>
      <c r="G25" s="152"/>
      <c r="H25" s="152"/>
      <c r="I25" s="152"/>
      <c r="J25" s="152"/>
    </row>
    <row r="26" customFormat="false" ht="13.5" hidden="false" customHeight="true" outlineLevel="0" collapsed="false">
      <c r="B26" s="2" t="s">
        <v>108</v>
      </c>
      <c r="C26" s="58" t="n">
        <f aca="false">C21/C24</f>
        <v>7.80478717920298</v>
      </c>
      <c r="D26" s="58" t="n">
        <f aca="false">D21/D24</f>
        <v>7.69537570587904</v>
      </c>
      <c r="E26" s="58" t="n">
        <f aca="false">E21/E24</f>
        <v>7.66236754599779</v>
      </c>
      <c r="F26" s="193" t="n">
        <f aca="false">F21/F24</f>
        <v>7.32502895070271</v>
      </c>
      <c r="G26" s="61" t="n">
        <f aca="false">G21/G24</f>
        <v>8.80773569039582</v>
      </c>
      <c r="H26" s="61" t="n">
        <f aca="false">H21/H24</f>
        <v>10.5521801606472</v>
      </c>
      <c r="I26" s="61" t="n">
        <f aca="false">I21/I24</f>
        <v>12.5984075440338</v>
      </c>
      <c r="J26" s="61" t="n">
        <f aca="false">J21/J24</f>
        <v>14.9792883680831</v>
      </c>
    </row>
    <row r="27" customFormat="false" ht="13.5" hidden="false" customHeight="true" outlineLevel="0" collapsed="false">
      <c r="F27" s="174"/>
    </row>
    <row r="28" customFormat="false" ht="13.5" hidden="false" customHeight="true" outlineLevel="0" collapsed="false">
      <c r="B28" s="2" t="s">
        <v>44</v>
      </c>
      <c r="C28" s="17" t="n">
        <v>150</v>
      </c>
      <c r="D28" s="17" t="n">
        <v>190</v>
      </c>
      <c r="E28" s="17" t="n">
        <v>230</v>
      </c>
      <c r="F28" s="194" t="n">
        <f aca="false">'Shareholder''s Equity Forecast'!F7</f>
        <v>208.563794944946</v>
      </c>
      <c r="G28" s="195" t="n">
        <f aca="false">'Shareholder''s Equity Forecast'!G7</f>
        <v>247.030559648403</v>
      </c>
      <c r="H28" s="195" t="n">
        <f aca="false">'Shareholder''s Equity Forecast'!H7</f>
        <v>292.207000639336</v>
      </c>
      <c r="I28" s="195" t="n">
        <f aca="false">'Shareholder''s Equity Forecast'!I7</f>
        <v>345.120364415724</v>
      </c>
      <c r="J28" s="195" t="n">
        <f aca="false">'Shareholder''s Equity Forecast'!J7</f>
        <v>406.592139697379</v>
      </c>
    </row>
    <row r="29" customFormat="false" ht="13.5" hidden="false" customHeight="true" outlineLevel="0" collapsed="false">
      <c r="B29" s="2" t="s">
        <v>109</v>
      </c>
      <c r="C29" s="58" t="n">
        <f aca="false">C28/C24</f>
        <v>1.51141115421432</v>
      </c>
      <c r="D29" s="58" t="n">
        <f aca="false">D28/D24</f>
        <v>1.938874432369</v>
      </c>
      <c r="E29" s="58" t="n">
        <f aca="false">E28/E24</f>
        <v>2.38056573234518</v>
      </c>
      <c r="F29" s="193" t="n">
        <f aca="false">F28/F24</f>
        <v>2.19750845130383</v>
      </c>
      <c r="G29" s="61" t="n">
        <f aca="false">G28/G24</f>
        <v>2.64232053730095</v>
      </c>
      <c r="H29" s="61" t="n">
        <f aca="false">H28/H24</f>
        <v>3.16565392424473</v>
      </c>
      <c r="I29" s="61" t="n">
        <f aca="false">I28/I24</f>
        <v>3.77952217251494</v>
      </c>
      <c r="J29" s="61" t="n">
        <f aca="false">J28/J24</f>
        <v>4.49378644380771</v>
      </c>
    </row>
    <row r="30" customFormat="false" ht="13.5" hidden="false" customHeight="true" outlineLevel="0" collapsed="false">
      <c r="C30" s="196"/>
      <c r="D30" s="196"/>
      <c r="E30" s="196"/>
      <c r="F30" s="197"/>
      <c r="G30" s="196"/>
      <c r="H30" s="196"/>
      <c r="I30" s="196"/>
      <c r="J30" s="196"/>
    </row>
    <row r="31" customFormat="false" ht="13.5" hidden="false" customHeight="true" outlineLevel="0" collapsed="false">
      <c r="C31" s="152"/>
      <c r="D31" s="139"/>
      <c r="E31" s="139"/>
      <c r="F31" s="198"/>
      <c r="G31" s="139"/>
      <c r="H31" s="139"/>
      <c r="I31" s="139"/>
      <c r="J31" s="139"/>
    </row>
    <row r="32" customFormat="false" ht="13.5" hidden="false" customHeight="true" outlineLevel="0" collapsed="false">
      <c r="C32" s="152"/>
      <c r="D32" s="139"/>
      <c r="E32" s="139"/>
      <c r="F32" s="139"/>
      <c r="G32" s="139"/>
      <c r="H32" s="139"/>
      <c r="I32" s="139"/>
      <c r="J32" s="139"/>
    </row>
    <row r="33" customFormat="false" ht="13.5" hidden="false" customHeight="true" outlineLevel="0" collapsed="false">
      <c r="C33" s="152"/>
      <c r="D33" s="139"/>
      <c r="E33" s="139"/>
      <c r="F33" s="139"/>
      <c r="G33" s="139"/>
      <c r="H33" s="139"/>
      <c r="I33" s="139"/>
      <c r="J33" s="139"/>
    </row>
    <row r="34" customFormat="false" ht="13.5" hidden="false" customHeight="true" outlineLevel="0" collapsed="false">
      <c r="C34" s="152"/>
      <c r="D34" s="152"/>
      <c r="E34" s="152"/>
      <c r="F34" s="152"/>
      <c r="G34" s="152"/>
      <c r="H34" s="152"/>
      <c r="I34" s="152"/>
      <c r="J34" s="152"/>
    </row>
  </sheetData>
  <mergeCells count="2">
    <mergeCell ref="C3:E3"/>
    <mergeCell ref="F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2C83"/>
    <pageSetUpPr fitToPage="false"/>
  </sheetPr>
  <dimension ref="A1:L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34" activePane="bottomRight" state="frozen"/>
      <selection pane="topLeft" activeCell="A1" activeCellId="0" sqref="A1"/>
      <selection pane="topRight" activeCell="B1" activeCellId="0" sqref="B1"/>
      <selection pane="bottomLeft" activeCell="A34" activeCellId="0" sqref="A34"/>
      <selection pane="bottomRight" activeCell="E38" activeCellId="0" sqref="E38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34"/>
    <col collapsed="false" customWidth="true" hidden="false" outlineLevel="0" max="6" min="3" style="2" width="13"/>
    <col collapsed="false" customWidth="true" hidden="false" outlineLevel="0" max="9" min="7" style="2" width="12"/>
    <col collapsed="false" customWidth="true" hidden="false" outlineLevel="0" max="10" min="10" style="2" width="13.11"/>
    <col collapsed="false" customWidth="false" hidden="false" outlineLevel="0" max="254" min="11" style="2" width="9.11"/>
    <col collapsed="false" customWidth="true" hidden="false" outlineLevel="0" max="255" min="255" style="2" width="2.44"/>
    <col collapsed="false" customWidth="true" hidden="false" outlineLevel="0" max="256" min="256" style="2" width="44.56"/>
    <col collapsed="false" customWidth="true" hidden="false" outlineLevel="0" max="257" min="257" style="2" width="11"/>
    <col collapsed="false" customWidth="true" hidden="false" outlineLevel="0" max="258" min="258" style="2" width="10"/>
    <col collapsed="false" customWidth="true" hidden="false" outlineLevel="0" max="259" min="259" style="2" width="10.88"/>
    <col collapsed="false" customWidth="true" hidden="false" outlineLevel="0" max="260" min="260" style="2" width="11"/>
    <col collapsed="false" customWidth="true" hidden="false" outlineLevel="0" max="262" min="261" style="2" width="10.33"/>
    <col collapsed="false" customWidth="true" hidden="false" outlineLevel="0" max="266" min="263" style="2" width="11.67"/>
    <col collapsed="false" customWidth="false" hidden="false" outlineLevel="0" max="510" min="267" style="2" width="9.11"/>
    <col collapsed="false" customWidth="true" hidden="false" outlineLevel="0" max="511" min="511" style="2" width="2.44"/>
    <col collapsed="false" customWidth="true" hidden="false" outlineLevel="0" max="512" min="512" style="2" width="44.56"/>
    <col collapsed="false" customWidth="true" hidden="false" outlineLevel="0" max="513" min="513" style="2" width="11"/>
    <col collapsed="false" customWidth="true" hidden="false" outlineLevel="0" max="514" min="514" style="2" width="10"/>
    <col collapsed="false" customWidth="true" hidden="false" outlineLevel="0" max="515" min="515" style="2" width="10.88"/>
    <col collapsed="false" customWidth="true" hidden="false" outlineLevel="0" max="516" min="516" style="2" width="11"/>
    <col collapsed="false" customWidth="true" hidden="false" outlineLevel="0" max="518" min="517" style="2" width="10.33"/>
    <col collapsed="false" customWidth="true" hidden="false" outlineLevel="0" max="522" min="519" style="2" width="11.67"/>
    <col collapsed="false" customWidth="false" hidden="false" outlineLevel="0" max="766" min="523" style="2" width="9.11"/>
    <col collapsed="false" customWidth="true" hidden="false" outlineLevel="0" max="767" min="767" style="2" width="2.44"/>
    <col collapsed="false" customWidth="true" hidden="false" outlineLevel="0" max="768" min="768" style="2" width="44.56"/>
    <col collapsed="false" customWidth="true" hidden="false" outlineLevel="0" max="769" min="769" style="2" width="11"/>
    <col collapsed="false" customWidth="true" hidden="false" outlineLevel="0" max="770" min="770" style="2" width="10"/>
    <col collapsed="false" customWidth="true" hidden="false" outlineLevel="0" max="771" min="771" style="2" width="10.88"/>
    <col collapsed="false" customWidth="true" hidden="false" outlineLevel="0" max="772" min="772" style="2" width="11"/>
    <col collapsed="false" customWidth="true" hidden="false" outlineLevel="0" max="774" min="773" style="2" width="10.33"/>
    <col collapsed="false" customWidth="true" hidden="false" outlineLevel="0" max="778" min="775" style="2" width="11.67"/>
    <col collapsed="false" customWidth="false" hidden="false" outlineLevel="0" max="1022" min="779" style="2" width="9.11"/>
    <col collapsed="false" customWidth="true" hidden="false" outlineLevel="0" max="1023" min="1023" style="2" width="2.44"/>
    <col collapsed="false" customWidth="true" hidden="false" outlineLevel="0" max="1024" min="1024" style="2" width="44.56"/>
    <col collapsed="false" customWidth="true" hidden="false" outlineLevel="0" max="1025" min="1025" style="2" width="11"/>
    <col collapsed="false" customWidth="true" hidden="false" outlineLevel="0" max="1026" min="1026" style="2" width="10"/>
    <col collapsed="false" customWidth="true" hidden="false" outlineLevel="0" max="1027" min="1027" style="2" width="10.88"/>
    <col collapsed="false" customWidth="true" hidden="false" outlineLevel="0" max="1028" min="1028" style="2" width="11"/>
    <col collapsed="false" customWidth="true" hidden="false" outlineLevel="0" max="1030" min="1029" style="2" width="10.33"/>
    <col collapsed="false" customWidth="true" hidden="false" outlineLevel="0" max="1034" min="1031" style="2" width="11.67"/>
    <col collapsed="false" customWidth="false" hidden="false" outlineLevel="0" max="1278" min="1035" style="2" width="9.11"/>
    <col collapsed="false" customWidth="true" hidden="false" outlineLevel="0" max="1279" min="1279" style="2" width="2.44"/>
    <col collapsed="false" customWidth="true" hidden="false" outlineLevel="0" max="1280" min="1280" style="2" width="44.56"/>
    <col collapsed="false" customWidth="true" hidden="false" outlineLevel="0" max="1281" min="1281" style="2" width="11"/>
    <col collapsed="false" customWidth="true" hidden="false" outlineLevel="0" max="1282" min="1282" style="2" width="10"/>
    <col collapsed="false" customWidth="true" hidden="false" outlineLevel="0" max="1283" min="1283" style="2" width="10.88"/>
    <col collapsed="false" customWidth="true" hidden="false" outlineLevel="0" max="1284" min="1284" style="2" width="11"/>
    <col collapsed="false" customWidth="true" hidden="false" outlineLevel="0" max="1286" min="1285" style="2" width="10.33"/>
    <col collapsed="false" customWidth="true" hidden="false" outlineLevel="0" max="1290" min="1287" style="2" width="11.67"/>
    <col collapsed="false" customWidth="false" hidden="false" outlineLevel="0" max="1534" min="1291" style="2" width="9.11"/>
    <col collapsed="false" customWidth="true" hidden="false" outlineLevel="0" max="1535" min="1535" style="2" width="2.44"/>
    <col collapsed="false" customWidth="true" hidden="false" outlineLevel="0" max="1536" min="1536" style="2" width="44.56"/>
    <col collapsed="false" customWidth="true" hidden="false" outlineLevel="0" max="1537" min="1537" style="2" width="11"/>
    <col collapsed="false" customWidth="true" hidden="false" outlineLevel="0" max="1538" min="1538" style="2" width="10"/>
    <col collapsed="false" customWidth="true" hidden="false" outlineLevel="0" max="1539" min="1539" style="2" width="10.88"/>
    <col collapsed="false" customWidth="true" hidden="false" outlineLevel="0" max="1540" min="1540" style="2" width="11"/>
    <col collapsed="false" customWidth="true" hidden="false" outlineLevel="0" max="1542" min="1541" style="2" width="10.33"/>
    <col collapsed="false" customWidth="true" hidden="false" outlineLevel="0" max="1546" min="1543" style="2" width="11.67"/>
    <col collapsed="false" customWidth="false" hidden="false" outlineLevel="0" max="1790" min="1547" style="2" width="9.11"/>
    <col collapsed="false" customWidth="true" hidden="false" outlineLevel="0" max="1791" min="1791" style="2" width="2.44"/>
    <col collapsed="false" customWidth="true" hidden="false" outlineLevel="0" max="1792" min="1792" style="2" width="44.56"/>
    <col collapsed="false" customWidth="true" hidden="false" outlineLevel="0" max="1793" min="1793" style="2" width="11"/>
    <col collapsed="false" customWidth="true" hidden="false" outlineLevel="0" max="1794" min="1794" style="2" width="10"/>
    <col collapsed="false" customWidth="true" hidden="false" outlineLevel="0" max="1795" min="1795" style="2" width="10.88"/>
    <col collapsed="false" customWidth="true" hidden="false" outlineLevel="0" max="1796" min="1796" style="2" width="11"/>
    <col collapsed="false" customWidth="true" hidden="false" outlineLevel="0" max="1798" min="1797" style="2" width="10.33"/>
    <col collapsed="false" customWidth="true" hidden="false" outlineLevel="0" max="1802" min="1799" style="2" width="11.67"/>
    <col collapsed="false" customWidth="false" hidden="false" outlineLevel="0" max="2046" min="1803" style="2" width="9.11"/>
    <col collapsed="false" customWidth="true" hidden="false" outlineLevel="0" max="2047" min="2047" style="2" width="2.44"/>
    <col collapsed="false" customWidth="true" hidden="false" outlineLevel="0" max="2048" min="2048" style="2" width="44.56"/>
    <col collapsed="false" customWidth="true" hidden="false" outlineLevel="0" max="2049" min="2049" style="2" width="11"/>
    <col collapsed="false" customWidth="true" hidden="false" outlineLevel="0" max="2050" min="2050" style="2" width="10"/>
    <col collapsed="false" customWidth="true" hidden="false" outlineLevel="0" max="2051" min="2051" style="2" width="10.88"/>
    <col collapsed="false" customWidth="true" hidden="false" outlineLevel="0" max="2052" min="2052" style="2" width="11"/>
    <col collapsed="false" customWidth="true" hidden="false" outlineLevel="0" max="2054" min="2053" style="2" width="10.33"/>
    <col collapsed="false" customWidth="true" hidden="false" outlineLevel="0" max="2058" min="2055" style="2" width="11.67"/>
    <col collapsed="false" customWidth="false" hidden="false" outlineLevel="0" max="2302" min="2059" style="2" width="9.11"/>
    <col collapsed="false" customWidth="true" hidden="false" outlineLevel="0" max="2303" min="2303" style="2" width="2.44"/>
    <col collapsed="false" customWidth="true" hidden="false" outlineLevel="0" max="2304" min="2304" style="2" width="44.56"/>
    <col collapsed="false" customWidth="true" hidden="false" outlineLevel="0" max="2305" min="2305" style="2" width="11"/>
    <col collapsed="false" customWidth="true" hidden="false" outlineLevel="0" max="2306" min="2306" style="2" width="10"/>
    <col collapsed="false" customWidth="true" hidden="false" outlineLevel="0" max="2307" min="2307" style="2" width="10.88"/>
    <col collapsed="false" customWidth="true" hidden="false" outlineLevel="0" max="2308" min="2308" style="2" width="11"/>
    <col collapsed="false" customWidth="true" hidden="false" outlineLevel="0" max="2310" min="2309" style="2" width="10.33"/>
    <col collapsed="false" customWidth="true" hidden="false" outlineLevel="0" max="2314" min="2311" style="2" width="11.67"/>
    <col collapsed="false" customWidth="false" hidden="false" outlineLevel="0" max="2558" min="2315" style="2" width="9.11"/>
    <col collapsed="false" customWidth="true" hidden="false" outlineLevel="0" max="2559" min="2559" style="2" width="2.44"/>
    <col collapsed="false" customWidth="true" hidden="false" outlineLevel="0" max="2560" min="2560" style="2" width="44.56"/>
    <col collapsed="false" customWidth="true" hidden="false" outlineLevel="0" max="2561" min="2561" style="2" width="11"/>
    <col collapsed="false" customWidth="true" hidden="false" outlineLevel="0" max="2562" min="2562" style="2" width="10"/>
    <col collapsed="false" customWidth="true" hidden="false" outlineLevel="0" max="2563" min="2563" style="2" width="10.88"/>
    <col collapsed="false" customWidth="true" hidden="false" outlineLevel="0" max="2564" min="2564" style="2" width="11"/>
    <col collapsed="false" customWidth="true" hidden="false" outlineLevel="0" max="2566" min="2565" style="2" width="10.33"/>
    <col collapsed="false" customWidth="true" hidden="false" outlineLevel="0" max="2570" min="2567" style="2" width="11.67"/>
    <col collapsed="false" customWidth="false" hidden="false" outlineLevel="0" max="2814" min="2571" style="2" width="9.11"/>
    <col collapsed="false" customWidth="true" hidden="false" outlineLevel="0" max="2815" min="2815" style="2" width="2.44"/>
    <col collapsed="false" customWidth="true" hidden="false" outlineLevel="0" max="2816" min="2816" style="2" width="44.56"/>
    <col collapsed="false" customWidth="true" hidden="false" outlineLevel="0" max="2817" min="2817" style="2" width="11"/>
    <col collapsed="false" customWidth="true" hidden="false" outlineLevel="0" max="2818" min="2818" style="2" width="10"/>
    <col collapsed="false" customWidth="true" hidden="false" outlineLevel="0" max="2819" min="2819" style="2" width="10.88"/>
    <col collapsed="false" customWidth="true" hidden="false" outlineLevel="0" max="2820" min="2820" style="2" width="11"/>
    <col collapsed="false" customWidth="true" hidden="false" outlineLevel="0" max="2822" min="2821" style="2" width="10.33"/>
    <col collapsed="false" customWidth="true" hidden="false" outlineLevel="0" max="2826" min="2823" style="2" width="11.67"/>
    <col collapsed="false" customWidth="false" hidden="false" outlineLevel="0" max="3070" min="2827" style="2" width="9.11"/>
    <col collapsed="false" customWidth="true" hidden="false" outlineLevel="0" max="3071" min="3071" style="2" width="2.44"/>
    <col collapsed="false" customWidth="true" hidden="false" outlineLevel="0" max="3072" min="3072" style="2" width="44.56"/>
    <col collapsed="false" customWidth="true" hidden="false" outlineLevel="0" max="3073" min="3073" style="2" width="11"/>
    <col collapsed="false" customWidth="true" hidden="false" outlineLevel="0" max="3074" min="3074" style="2" width="10"/>
    <col collapsed="false" customWidth="true" hidden="false" outlineLevel="0" max="3075" min="3075" style="2" width="10.88"/>
    <col collapsed="false" customWidth="true" hidden="false" outlineLevel="0" max="3076" min="3076" style="2" width="11"/>
    <col collapsed="false" customWidth="true" hidden="false" outlineLevel="0" max="3078" min="3077" style="2" width="10.33"/>
    <col collapsed="false" customWidth="true" hidden="false" outlineLevel="0" max="3082" min="3079" style="2" width="11.67"/>
    <col collapsed="false" customWidth="false" hidden="false" outlineLevel="0" max="3326" min="3083" style="2" width="9.11"/>
    <col collapsed="false" customWidth="true" hidden="false" outlineLevel="0" max="3327" min="3327" style="2" width="2.44"/>
    <col collapsed="false" customWidth="true" hidden="false" outlineLevel="0" max="3328" min="3328" style="2" width="44.56"/>
    <col collapsed="false" customWidth="true" hidden="false" outlineLevel="0" max="3329" min="3329" style="2" width="11"/>
    <col collapsed="false" customWidth="true" hidden="false" outlineLevel="0" max="3330" min="3330" style="2" width="10"/>
    <col collapsed="false" customWidth="true" hidden="false" outlineLevel="0" max="3331" min="3331" style="2" width="10.88"/>
    <col collapsed="false" customWidth="true" hidden="false" outlineLevel="0" max="3332" min="3332" style="2" width="11"/>
    <col collapsed="false" customWidth="true" hidden="false" outlineLevel="0" max="3334" min="3333" style="2" width="10.33"/>
    <col collapsed="false" customWidth="true" hidden="false" outlineLevel="0" max="3338" min="3335" style="2" width="11.67"/>
    <col collapsed="false" customWidth="false" hidden="false" outlineLevel="0" max="3582" min="3339" style="2" width="9.11"/>
    <col collapsed="false" customWidth="true" hidden="false" outlineLevel="0" max="3583" min="3583" style="2" width="2.44"/>
    <col collapsed="false" customWidth="true" hidden="false" outlineLevel="0" max="3584" min="3584" style="2" width="44.56"/>
    <col collapsed="false" customWidth="true" hidden="false" outlineLevel="0" max="3585" min="3585" style="2" width="11"/>
    <col collapsed="false" customWidth="true" hidden="false" outlineLevel="0" max="3586" min="3586" style="2" width="10"/>
    <col collapsed="false" customWidth="true" hidden="false" outlineLevel="0" max="3587" min="3587" style="2" width="10.88"/>
    <col collapsed="false" customWidth="true" hidden="false" outlineLevel="0" max="3588" min="3588" style="2" width="11"/>
    <col collapsed="false" customWidth="true" hidden="false" outlineLevel="0" max="3590" min="3589" style="2" width="10.33"/>
    <col collapsed="false" customWidth="true" hidden="false" outlineLevel="0" max="3594" min="3591" style="2" width="11.67"/>
    <col collapsed="false" customWidth="false" hidden="false" outlineLevel="0" max="3838" min="3595" style="2" width="9.11"/>
    <col collapsed="false" customWidth="true" hidden="false" outlineLevel="0" max="3839" min="3839" style="2" width="2.44"/>
    <col collapsed="false" customWidth="true" hidden="false" outlineLevel="0" max="3840" min="3840" style="2" width="44.56"/>
    <col collapsed="false" customWidth="true" hidden="false" outlineLevel="0" max="3841" min="3841" style="2" width="11"/>
    <col collapsed="false" customWidth="true" hidden="false" outlineLevel="0" max="3842" min="3842" style="2" width="10"/>
    <col collapsed="false" customWidth="true" hidden="false" outlineLevel="0" max="3843" min="3843" style="2" width="10.88"/>
    <col collapsed="false" customWidth="true" hidden="false" outlineLevel="0" max="3844" min="3844" style="2" width="11"/>
    <col collapsed="false" customWidth="true" hidden="false" outlineLevel="0" max="3846" min="3845" style="2" width="10.33"/>
    <col collapsed="false" customWidth="true" hidden="false" outlineLevel="0" max="3850" min="3847" style="2" width="11.67"/>
    <col collapsed="false" customWidth="false" hidden="false" outlineLevel="0" max="4094" min="3851" style="2" width="9.11"/>
    <col collapsed="false" customWidth="true" hidden="false" outlineLevel="0" max="4095" min="4095" style="2" width="2.44"/>
    <col collapsed="false" customWidth="true" hidden="false" outlineLevel="0" max="4096" min="4096" style="2" width="44.56"/>
    <col collapsed="false" customWidth="true" hidden="false" outlineLevel="0" max="4097" min="4097" style="2" width="11"/>
    <col collapsed="false" customWidth="true" hidden="false" outlineLevel="0" max="4098" min="4098" style="2" width="10"/>
    <col collapsed="false" customWidth="true" hidden="false" outlineLevel="0" max="4099" min="4099" style="2" width="10.88"/>
    <col collapsed="false" customWidth="true" hidden="false" outlineLevel="0" max="4100" min="4100" style="2" width="11"/>
    <col collapsed="false" customWidth="true" hidden="false" outlineLevel="0" max="4102" min="4101" style="2" width="10.33"/>
    <col collapsed="false" customWidth="true" hidden="false" outlineLevel="0" max="4106" min="4103" style="2" width="11.67"/>
    <col collapsed="false" customWidth="false" hidden="false" outlineLevel="0" max="4350" min="4107" style="2" width="9.11"/>
    <col collapsed="false" customWidth="true" hidden="false" outlineLevel="0" max="4351" min="4351" style="2" width="2.44"/>
    <col collapsed="false" customWidth="true" hidden="false" outlineLevel="0" max="4352" min="4352" style="2" width="44.56"/>
    <col collapsed="false" customWidth="true" hidden="false" outlineLevel="0" max="4353" min="4353" style="2" width="11"/>
    <col collapsed="false" customWidth="true" hidden="false" outlineLevel="0" max="4354" min="4354" style="2" width="10"/>
    <col collapsed="false" customWidth="true" hidden="false" outlineLevel="0" max="4355" min="4355" style="2" width="10.88"/>
    <col collapsed="false" customWidth="true" hidden="false" outlineLevel="0" max="4356" min="4356" style="2" width="11"/>
    <col collapsed="false" customWidth="true" hidden="false" outlineLevel="0" max="4358" min="4357" style="2" width="10.33"/>
    <col collapsed="false" customWidth="true" hidden="false" outlineLevel="0" max="4362" min="4359" style="2" width="11.67"/>
    <col collapsed="false" customWidth="false" hidden="false" outlineLevel="0" max="4606" min="4363" style="2" width="9.11"/>
    <col collapsed="false" customWidth="true" hidden="false" outlineLevel="0" max="4607" min="4607" style="2" width="2.44"/>
    <col collapsed="false" customWidth="true" hidden="false" outlineLevel="0" max="4608" min="4608" style="2" width="44.56"/>
    <col collapsed="false" customWidth="true" hidden="false" outlineLevel="0" max="4609" min="4609" style="2" width="11"/>
    <col collapsed="false" customWidth="true" hidden="false" outlineLevel="0" max="4610" min="4610" style="2" width="10"/>
    <col collapsed="false" customWidth="true" hidden="false" outlineLevel="0" max="4611" min="4611" style="2" width="10.88"/>
    <col collapsed="false" customWidth="true" hidden="false" outlineLevel="0" max="4612" min="4612" style="2" width="11"/>
    <col collapsed="false" customWidth="true" hidden="false" outlineLevel="0" max="4614" min="4613" style="2" width="10.33"/>
    <col collapsed="false" customWidth="true" hidden="false" outlineLevel="0" max="4618" min="4615" style="2" width="11.67"/>
    <col collapsed="false" customWidth="false" hidden="false" outlineLevel="0" max="4862" min="4619" style="2" width="9.11"/>
    <col collapsed="false" customWidth="true" hidden="false" outlineLevel="0" max="4863" min="4863" style="2" width="2.44"/>
    <col collapsed="false" customWidth="true" hidden="false" outlineLevel="0" max="4864" min="4864" style="2" width="44.56"/>
    <col collapsed="false" customWidth="true" hidden="false" outlineLevel="0" max="4865" min="4865" style="2" width="11"/>
    <col collapsed="false" customWidth="true" hidden="false" outlineLevel="0" max="4866" min="4866" style="2" width="10"/>
    <col collapsed="false" customWidth="true" hidden="false" outlineLevel="0" max="4867" min="4867" style="2" width="10.88"/>
    <col collapsed="false" customWidth="true" hidden="false" outlineLevel="0" max="4868" min="4868" style="2" width="11"/>
    <col collapsed="false" customWidth="true" hidden="false" outlineLevel="0" max="4870" min="4869" style="2" width="10.33"/>
    <col collapsed="false" customWidth="true" hidden="false" outlineLevel="0" max="4874" min="4871" style="2" width="11.67"/>
    <col collapsed="false" customWidth="false" hidden="false" outlineLevel="0" max="5118" min="4875" style="2" width="9.11"/>
    <col collapsed="false" customWidth="true" hidden="false" outlineLevel="0" max="5119" min="5119" style="2" width="2.44"/>
    <col collapsed="false" customWidth="true" hidden="false" outlineLevel="0" max="5120" min="5120" style="2" width="44.56"/>
    <col collapsed="false" customWidth="true" hidden="false" outlineLevel="0" max="5121" min="5121" style="2" width="11"/>
    <col collapsed="false" customWidth="true" hidden="false" outlineLevel="0" max="5122" min="5122" style="2" width="10"/>
    <col collapsed="false" customWidth="true" hidden="false" outlineLevel="0" max="5123" min="5123" style="2" width="10.88"/>
    <col collapsed="false" customWidth="true" hidden="false" outlineLevel="0" max="5124" min="5124" style="2" width="11"/>
    <col collapsed="false" customWidth="true" hidden="false" outlineLevel="0" max="5126" min="5125" style="2" width="10.33"/>
    <col collapsed="false" customWidth="true" hidden="false" outlineLevel="0" max="5130" min="5127" style="2" width="11.67"/>
    <col collapsed="false" customWidth="false" hidden="false" outlineLevel="0" max="5374" min="5131" style="2" width="9.11"/>
    <col collapsed="false" customWidth="true" hidden="false" outlineLevel="0" max="5375" min="5375" style="2" width="2.44"/>
    <col collapsed="false" customWidth="true" hidden="false" outlineLevel="0" max="5376" min="5376" style="2" width="44.56"/>
    <col collapsed="false" customWidth="true" hidden="false" outlineLevel="0" max="5377" min="5377" style="2" width="11"/>
    <col collapsed="false" customWidth="true" hidden="false" outlineLevel="0" max="5378" min="5378" style="2" width="10"/>
    <col collapsed="false" customWidth="true" hidden="false" outlineLevel="0" max="5379" min="5379" style="2" width="10.88"/>
    <col collapsed="false" customWidth="true" hidden="false" outlineLevel="0" max="5380" min="5380" style="2" width="11"/>
    <col collapsed="false" customWidth="true" hidden="false" outlineLevel="0" max="5382" min="5381" style="2" width="10.33"/>
    <col collapsed="false" customWidth="true" hidden="false" outlineLevel="0" max="5386" min="5383" style="2" width="11.67"/>
    <col collapsed="false" customWidth="false" hidden="false" outlineLevel="0" max="5630" min="5387" style="2" width="9.11"/>
    <col collapsed="false" customWidth="true" hidden="false" outlineLevel="0" max="5631" min="5631" style="2" width="2.44"/>
    <col collapsed="false" customWidth="true" hidden="false" outlineLevel="0" max="5632" min="5632" style="2" width="44.56"/>
    <col collapsed="false" customWidth="true" hidden="false" outlineLevel="0" max="5633" min="5633" style="2" width="11"/>
    <col collapsed="false" customWidth="true" hidden="false" outlineLevel="0" max="5634" min="5634" style="2" width="10"/>
    <col collapsed="false" customWidth="true" hidden="false" outlineLevel="0" max="5635" min="5635" style="2" width="10.88"/>
    <col collapsed="false" customWidth="true" hidden="false" outlineLevel="0" max="5636" min="5636" style="2" width="11"/>
    <col collapsed="false" customWidth="true" hidden="false" outlineLevel="0" max="5638" min="5637" style="2" width="10.33"/>
    <col collapsed="false" customWidth="true" hidden="false" outlineLevel="0" max="5642" min="5639" style="2" width="11.67"/>
    <col collapsed="false" customWidth="false" hidden="false" outlineLevel="0" max="5886" min="5643" style="2" width="9.11"/>
    <col collapsed="false" customWidth="true" hidden="false" outlineLevel="0" max="5887" min="5887" style="2" width="2.44"/>
    <col collapsed="false" customWidth="true" hidden="false" outlineLevel="0" max="5888" min="5888" style="2" width="44.56"/>
    <col collapsed="false" customWidth="true" hidden="false" outlineLevel="0" max="5889" min="5889" style="2" width="11"/>
    <col collapsed="false" customWidth="true" hidden="false" outlineLevel="0" max="5890" min="5890" style="2" width="10"/>
    <col collapsed="false" customWidth="true" hidden="false" outlineLevel="0" max="5891" min="5891" style="2" width="10.88"/>
    <col collapsed="false" customWidth="true" hidden="false" outlineLevel="0" max="5892" min="5892" style="2" width="11"/>
    <col collapsed="false" customWidth="true" hidden="false" outlineLevel="0" max="5894" min="5893" style="2" width="10.33"/>
    <col collapsed="false" customWidth="true" hidden="false" outlineLevel="0" max="5898" min="5895" style="2" width="11.67"/>
    <col collapsed="false" customWidth="false" hidden="false" outlineLevel="0" max="6142" min="5899" style="2" width="9.11"/>
    <col collapsed="false" customWidth="true" hidden="false" outlineLevel="0" max="6143" min="6143" style="2" width="2.44"/>
    <col collapsed="false" customWidth="true" hidden="false" outlineLevel="0" max="6144" min="6144" style="2" width="44.56"/>
    <col collapsed="false" customWidth="true" hidden="false" outlineLevel="0" max="6145" min="6145" style="2" width="11"/>
    <col collapsed="false" customWidth="true" hidden="false" outlineLevel="0" max="6146" min="6146" style="2" width="10"/>
    <col collapsed="false" customWidth="true" hidden="false" outlineLevel="0" max="6147" min="6147" style="2" width="10.88"/>
    <col collapsed="false" customWidth="true" hidden="false" outlineLevel="0" max="6148" min="6148" style="2" width="11"/>
    <col collapsed="false" customWidth="true" hidden="false" outlineLevel="0" max="6150" min="6149" style="2" width="10.33"/>
    <col collapsed="false" customWidth="true" hidden="false" outlineLevel="0" max="6154" min="6151" style="2" width="11.67"/>
    <col collapsed="false" customWidth="false" hidden="false" outlineLevel="0" max="6398" min="6155" style="2" width="9.11"/>
    <col collapsed="false" customWidth="true" hidden="false" outlineLevel="0" max="6399" min="6399" style="2" width="2.44"/>
    <col collapsed="false" customWidth="true" hidden="false" outlineLevel="0" max="6400" min="6400" style="2" width="44.56"/>
    <col collapsed="false" customWidth="true" hidden="false" outlineLevel="0" max="6401" min="6401" style="2" width="11"/>
    <col collapsed="false" customWidth="true" hidden="false" outlineLevel="0" max="6402" min="6402" style="2" width="10"/>
    <col collapsed="false" customWidth="true" hidden="false" outlineLevel="0" max="6403" min="6403" style="2" width="10.88"/>
    <col collapsed="false" customWidth="true" hidden="false" outlineLevel="0" max="6404" min="6404" style="2" width="11"/>
    <col collapsed="false" customWidth="true" hidden="false" outlineLevel="0" max="6406" min="6405" style="2" width="10.33"/>
    <col collapsed="false" customWidth="true" hidden="false" outlineLevel="0" max="6410" min="6407" style="2" width="11.67"/>
    <col collapsed="false" customWidth="false" hidden="false" outlineLevel="0" max="6654" min="6411" style="2" width="9.11"/>
    <col collapsed="false" customWidth="true" hidden="false" outlineLevel="0" max="6655" min="6655" style="2" width="2.44"/>
    <col collapsed="false" customWidth="true" hidden="false" outlineLevel="0" max="6656" min="6656" style="2" width="44.56"/>
    <col collapsed="false" customWidth="true" hidden="false" outlineLevel="0" max="6657" min="6657" style="2" width="11"/>
    <col collapsed="false" customWidth="true" hidden="false" outlineLevel="0" max="6658" min="6658" style="2" width="10"/>
    <col collapsed="false" customWidth="true" hidden="false" outlineLevel="0" max="6659" min="6659" style="2" width="10.88"/>
    <col collapsed="false" customWidth="true" hidden="false" outlineLevel="0" max="6660" min="6660" style="2" width="11"/>
    <col collapsed="false" customWidth="true" hidden="false" outlineLevel="0" max="6662" min="6661" style="2" width="10.33"/>
    <col collapsed="false" customWidth="true" hidden="false" outlineLevel="0" max="6666" min="6663" style="2" width="11.67"/>
    <col collapsed="false" customWidth="false" hidden="false" outlineLevel="0" max="6910" min="6667" style="2" width="9.11"/>
    <col collapsed="false" customWidth="true" hidden="false" outlineLevel="0" max="6911" min="6911" style="2" width="2.44"/>
    <col collapsed="false" customWidth="true" hidden="false" outlineLevel="0" max="6912" min="6912" style="2" width="44.56"/>
    <col collapsed="false" customWidth="true" hidden="false" outlineLevel="0" max="6913" min="6913" style="2" width="11"/>
    <col collapsed="false" customWidth="true" hidden="false" outlineLevel="0" max="6914" min="6914" style="2" width="10"/>
    <col collapsed="false" customWidth="true" hidden="false" outlineLevel="0" max="6915" min="6915" style="2" width="10.88"/>
    <col collapsed="false" customWidth="true" hidden="false" outlineLevel="0" max="6916" min="6916" style="2" width="11"/>
    <col collapsed="false" customWidth="true" hidden="false" outlineLevel="0" max="6918" min="6917" style="2" width="10.33"/>
    <col collapsed="false" customWidth="true" hidden="false" outlineLevel="0" max="6922" min="6919" style="2" width="11.67"/>
    <col collapsed="false" customWidth="false" hidden="false" outlineLevel="0" max="7166" min="6923" style="2" width="9.11"/>
    <col collapsed="false" customWidth="true" hidden="false" outlineLevel="0" max="7167" min="7167" style="2" width="2.44"/>
    <col collapsed="false" customWidth="true" hidden="false" outlineLevel="0" max="7168" min="7168" style="2" width="44.56"/>
    <col collapsed="false" customWidth="true" hidden="false" outlineLevel="0" max="7169" min="7169" style="2" width="11"/>
    <col collapsed="false" customWidth="true" hidden="false" outlineLevel="0" max="7170" min="7170" style="2" width="10"/>
    <col collapsed="false" customWidth="true" hidden="false" outlineLevel="0" max="7171" min="7171" style="2" width="10.88"/>
    <col collapsed="false" customWidth="true" hidden="false" outlineLevel="0" max="7172" min="7172" style="2" width="11"/>
    <col collapsed="false" customWidth="true" hidden="false" outlineLevel="0" max="7174" min="7173" style="2" width="10.33"/>
    <col collapsed="false" customWidth="true" hidden="false" outlineLevel="0" max="7178" min="7175" style="2" width="11.67"/>
    <col collapsed="false" customWidth="false" hidden="false" outlineLevel="0" max="7422" min="7179" style="2" width="9.11"/>
    <col collapsed="false" customWidth="true" hidden="false" outlineLevel="0" max="7423" min="7423" style="2" width="2.44"/>
    <col collapsed="false" customWidth="true" hidden="false" outlineLevel="0" max="7424" min="7424" style="2" width="44.56"/>
    <col collapsed="false" customWidth="true" hidden="false" outlineLevel="0" max="7425" min="7425" style="2" width="11"/>
    <col collapsed="false" customWidth="true" hidden="false" outlineLevel="0" max="7426" min="7426" style="2" width="10"/>
    <col collapsed="false" customWidth="true" hidden="false" outlineLevel="0" max="7427" min="7427" style="2" width="10.88"/>
    <col collapsed="false" customWidth="true" hidden="false" outlineLevel="0" max="7428" min="7428" style="2" width="11"/>
    <col collapsed="false" customWidth="true" hidden="false" outlineLevel="0" max="7430" min="7429" style="2" width="10.33"/>
    <col collapsed="false" customWidth="true" hidden="false" outlineLevel="0" max="7434" min="7431" style="2" width="11.67"/>
    <col collapsed="false" customWidth="false" hidden="false" outlineLevel="0" max="7678" min="7435" style="2" width="9.11"/>
    <col collapsed="false" customWidth="true" hidden="false" outlineLevel="0" max="7679" min="7679" style="2" width="2.44"/>
    <col collapsed="false" customWidth="true" hidden="false" outlineLevel="0" max="7680" min="7680" style="2" width="44.56"/>
    <col collapsed="false" customWidth="true" hidden="false" outlineLevel="0" max="7681" min="7681" style="2" width="11"/>
    <col collapsed="false" customWidth="true" hidden="false" outlineLevel="0" max="7682" min="7682" style="2" width="10"/>
    <col collapsed="false" customWidth="true" hidden="false" outlineLevel="0" max="7683" min="7683" style="2" width="10.88"/>
    <col collapsed="false" customWidth="true" hidden="false" outlineLevel="0" max="7684" min="7684" style="2" width="11"/>
    <col collapsed="false" customWidth="true" hidden="false" outlineLevel="0" max="7686" min="7685" style="2" width="10.33"/>
    <col collapsed="false" customWidth="true" hidden="false" outlineLevel="0" max="7690" min="7687" style="2" width="11.67"/>
    <col collapsed="false" customWidth="false" hidden="false" outlineLevel="0" max="7934" min="7691" style="2" width="9.11"/>
    <col collapsed="false" customWidth="true" hidden="false" outlineLevel="0" max="7935" min="7935" style="2" width="2.44"/>
    <col collapsed="false" customWidth="true" hidden="false" outlineLevel="0" max="7936" min="7936" style="2" width="44.56"/>
    <col collapsed="false" customWidth="true" hidden="false" outlineLevel="0" max="7937" min="7937" style="2" width="11"/>
    <col collapsed="false" customWidth="true" hidden="false" outlineLevel="0" max="7938" min="7938" style="2" width="10"/>
    <col collapsed="false" customWidth="true" hidden="false" outlineLevel="0" max="7939" min="7939" style="2" width="10.88"/>
    <col collapsed="false" customWidth="true" hidden="false" outlineLevel="0" max="7940" min="7940" style="2" width="11"/>
    <col collapsed="false" customWidth="true" hidden="false" outlineLevel="0" max="7942" min="7941" style="2" width="10.33"/>
    <col collapsed="false" customWidth="true" hidden="false" outlineLevel="0" max="7946" min="7943" style="2" width="11.67"/>
    <col collapsed="false" customWidth="false" hidden="false" outlineLevel="0" max="8190" min="7947" style="2" width="9.11"/>
    <col collapsed="false" customWidth="true" hidden="false" outlineLevel="0" max="8191" min="8191" style="2" width="2.44"/>
    <col collapsed="false" customWidth="true" hidden="false" outlineLevel="0" max="8192" min="8192" style="2" width="44.56"/>
    <col collapsed="false" customWidth="true" hidden="false" outlineLevel="0" max="8193" min="8193" style="2" width="11"/>
    <col collapsed="false" customWidth="true" hidden="false" outlineLevel="0" max="8194" min="8194" style="2" width="10"/>
    <col collapsed="false" customWidth="true" hidden="false" outlineLevel="0" max="8195" min="8195" style="2" width="10.88"/>
    <col collapsed="false" customWidth="true" hidden="false" outlineLevel="0" max="8196" min="8196" style="2" width="11"/>
    <col collapsed="false" customWidth="true" hidden="false" outlineLevel="0" max="8198" min="8197" style="2" width="10.33"/>
    <col collapsed="false" customWidth="true" hidden="false" outlineLevel="0" max="8202" min="8199" style="2" width="11.67"/>
    <col collapsed="false" customWidth="false" hidden="false" outlineLevel="0" max="8446" min="8203" style="2" width="9.11"/>
    <col collapsed="false" customWidth="true" hidden="false" outlineLevel="0" max="8447" min="8447" style="2" width="2.44"/>
    <col collapsed="false" customWidth="true" hidden="false" outlineLevel="0" max="8448" min="8448" style="2" width="44.56"/>
    <col collapsed="false" customWidth="true" hidden="false" outlineLevel="0" max="8449" min="8449" style="2" width="11"/>
    <col collapsed="false" customWidth="true" hidden="false" outlineLevel="0" max="8450" min="8450" style="2" width="10"/>
    <col collapsed="false" customWidth="true" hidden="false" outlineLevel="0" max="8451" min="8451" style="2" width="10.88"/>
    <col collapsed="false" customWidth="true" hidden="false" outlineLevel="0" max="8452" min="8452" style="2" width="11"/>
    <col collapsed="false" customWidth="true" hidden="false" outlineLevel="0" max="8454" min="8453" style="2" width="10.33"/>
    <col collapsed="false" customWidth="true" hidden="false" outlineLevel="0" max="8458" min="8455" style="2" width="11.67"/>
    <col collapsed="false" customWidth="false" hidden="false" outlineLevel="0" max="8702" min="8459" style="2" width="9.11"/>
    <col collapsed="false" customWidth="true" hidden="false" outlineLevel="0" max="8703" min="8703" style="2" width="2.44"/>
    <col collapsed="false" customWidth="true" hidden="false" outlineLevel="0" max="8704" min="8704" style="2" width="44.56"/>
    <col collapsed="false" customWidth="true" hidden="false" outlineLevel="0" max="8705" min="8705" style="2" width="11"/>
    <col collapsed="false" customWidth="true" hidden="false" outlineLevel="0" max="8706" min="8706" style="2" width="10"/>
    <col collapsed="false" customWidth="true" hidden="false" outlineLevel="0" max="8707" min="8707" style="2" width="10.88"/>
    <col collapsed="false" customWidth="true" hidden="false" outlineLevel="0" max="8708" min="8708" style="2" width="11"/>
    <col collapsed="false" customWidth="true" hidden="false" outlineLevel="0" max="8710" min="8709" style="2" width="10.33"/>
    <col collapsed="false" customWidth="true" hidden="false" outlineLevel="0" max="8714" min="8711" style="2" width="11.67"/>
    <col collapsed="false" customWidth="false" hidden="false" outlineLevel="0" max="8958" min="8715" style="2" width="9.11"/>
    <col collapsed="false" customWidth="true" hidden="false" outlineLevel="0" max="8959" min="8959" style="2" width="2.44"/>
    <col collapsed="false" customWidth="true" hidden="false" outlineLevel="0" max="8960" min="8960" style="2" width="44.56"/>
    <col collapsed="false" customWidth="true" hidden="false" outlineLevel="0" max="8961" min="8961" style="2" width="11"/>
    <col collapsed="false" customWidth="true" hidden="false" outlineLevel="0" max="8962" min="8962" style="2" width="10"/>
    <col collapsed="false" customWidth="true" hidden="false" outlineLevel="0" max="8963" min="8963" style="2" width="10.88"/>
    <col collapsed="false" customWidth="true" hidden="false" outlineLevel="0" max="8964" min="8964" style="2" width="11"/>
    <col collapsed="false" customWidth="true" hidden="false" outlineLevel="0" max="8966" min="8965" style="2" width="10.33"/>
    <col collapsed="false" customWidth="true" hidden="false" outlineLevel="0" max="8970" min="8967" style="2" width="11.67"/>
    <col collapsed="false" customWidth="false" hidden="false" outlineLevel="0" max="9214" min="8971" style="2" width="9.11"/>
    <col collapsed="false" customWidth="true" hidden="false" outlineLevel="0" max="9215" min="9215" style="2" width="2.44"/>
    <col collapsed="false" customWidth="true" hidden="false" outlineLevel="0" max="9216" min="9216" style="2" width="44.56"/>
    <col collapsed="false" customWidth="true" hidden="false" outlineLevel="0" max="9217" min="9217" style="2" width="11"/>
    <col collapsed="false" customWidth="true" hidden="false" outlineLevel="0" max="9218" min="9218" style="2" width="10"/>
    <col collapsed="false" customWidth="true" hidden="false" outlineLevel="0" max="9219" min="9219" style="2" width="10.88"/>
    <col collapsed="false" customWidth="true" hidden="false" outlineLevel="0" max="9220" min="9220" style="2" width="11"/>
    <col collapsed="false" customWidth="true" hidden="false" outlineLevel="0" max="9222" min="9221" style="2" width="10.33"/>
    <col collapsed="false" customWidth="true" hidden="false" outlineLevel="0" max="9226" min="9223" style="2" width="11.67"/>
    <col collapsed="false" customWidth="false" hidden="false" outlineLevel="0" max="9470" min="9227" style="2" width="9.11"/>
    <col collapsed="false" customWidth="true" hidden="false" outlineLevel="0" max="9471" min="9471" style="2" width="2.44"/>
    <col collapsed="false" customWidth="true" hidden="false" outlineLevel="0" max="9472" min="9472" style="2" width="44.56"/>
    <col collapsed="false" customWidth="true" hidden="false" outlineLevel="0" max="9473" min="9473" style="2" width="11"/>
    <col collapsed="false" customWidth="true" hidden="false" outlineLevel="0" max="9474" min="9474" style="2" width="10"/>
    <col collapsed="false" customWidth="true" hidden="false" outlineLevel="0" max="9475" min="9475" style="2" width="10.88"/>
    <col collapsed="false" customWidth="true" hidden="false" outlineLevel="0" max="9476" min="9476" style="2" width="11"/>
    <col collapsed="false" customWidth="true" hidden="false" outlineLevel="0" max="9478" min="9477" style="2" width="10.33"/>
    <col collapsed="false" customWidth="true" hidden="false" outlineLevel="0" max="9482" min="9479" style="2" width="11.67"/>
    <col collapsed="false" customWidth="false" hidden="false" outlineLevel="0" max="9726" min="9483" style="2" width="9.11"/>
    <col collapsed="false" customWidth="true" hidden="false" outlineLevel="0" max="9727" min="9727" style="2" width="2.44"/>
    <col collapsed="false" customWidth="true" hidden="false" outlineLevel="0" max="9728" min="9728" style="2" width="44.56"/>
    <col collapsed="false" customWidth="true" hidden="false" outlineLevel="0" max="9729" min="9729" style="2" width="11"/>
    <col collapsed="false" customWidth="true" hidden="false" outlineLevel="0" max="9730" min="9730" style="2" width="10"/>
    <col collapsed="false" customWidth="true" hidden="false" outlineLevel="0" max="9731" min="9731" style="2" width="10.88"/>
    <col collapsed="false" customWidth="true" hidden="false" outlineLevel="0" max="9732" min="9732" style="2" width="11"/>
    <col collapsed="false" customWidth="true" hidden="false" outlineLevel="0" max="9734" min="9733" style="2" width="10.33"/>
    <col collapsed="false" customWidth="true" hidden="false" outlineLevel="0" max="9738" min="9735" style="2" width="11.67"/>
    <col collapsed="false" customWidth="false" hidden="false" outlineLevel="0" max="9982" min="9739" style="2" width="9.11"/>
    <col collapsed="false" customWidth="true" hidden="false" outlineLevel="0" max="9983" min="9983" style="2" width="2.44"/>
    <col collapsed="false" customWidth="true" hidden="false" outlineLevel="0" max="9984" min="9984" style="2" width="44.56"/>
    <col collapsed="false" customWidth="true" hidden="false" outlineLevel="0" max="9985" min="9985" style="2" width="11"/>
    <col collapsed="false" customWidth="true" hidden="false" outlineLevel="0" max="9986" min="9986" style="2" width="10"/>
    <col collapsed="false" customWidth="true" hidden="false" outlineLevel="0" max="9987" min="9987" style="2" width="10.88"/>
    <col collapsed="false" customWidth="true" hidden="false" outlineLevel="0" max="9988" min="9988" style="2" width="11"/>
    <col collapsed="false" customWidth="true" hidden="false" outlineLevel="0" max="9990" min="9989" style="2" width="10.33"/>
    <col collapsed="false" customWidth="true" hidden="false" outlineLevel="0" max="9994" min="9991" style="2" width="11.67"/>
    <col collapsed="false" customWidth="false" hidden="false" outlineLevel="0" max="10238" min="9995" style="2" width="9.11"/>
    <col collapsed="false" customWidth="true" hidden="false" outlineLevel="0" max="10239" min="10239" style="2" width="2.44"/>
    <col collapsed="false" customWidth="true" hidden="false" outlineLevel="0" max="10240" min="10240" style="2" width="44.56"/>
    <col collapsed="false" customWidth="true" hidden="false" outlineLevel="0" max="10241" min="10241" style="2" width="11"/>
    <col collapsed="false" customWidth="true" hidden="false" outlineLevel="0" max="10242" min="10242" style="2" width="10"/>
    <col collapsed="false" customWidth="true" hidden="false" outlineLevel="0" max="10243" min="10243" style="2" width="10.88"/>
    <col collapsed="false" customWidth="true" hidden="false" outlineLevel="0" max="10244" min="10244" style="2" width="11"/>
    <col collapsed="false" customWidth="true" hidden="false" outlineLevel="0" max="10246" min="10245" style="2" width="10.33"/>
    <col collapsed="false" customWidth="true" hidden="false" outlineLevel="0" max="10250" min="10247" style="2" width="11.67"/>
    <col collapsed="false" customWidth="false" hidden="false" outlineLevel="0" max="10494" min="10251" style="2" width="9.11"/>
    <col collapsed="false" customWidth="true" hidden="false" outlineLevel="0" max="10495" min="10495" style="2" width="2.44"/>
    <col collapsed="false" customWidth="true" hidden="false" outlineLevel="0" max="10496" min="10496" style="2" width="44.56"/>
    <col collapsed="false" customWidth="true" hidden="false" outlineLevel="0" max="10497" min="10497" style="2" width="11"/>
    <col collapsed="false" customWidth="true" hidden="false" outlineLevel="0" max="10498" min="10498" style="2" width="10"/>
    <col collapsed="false" customWidth="true" hidden="false" outlineLevel="0" max="10499" min="10499" style="2" width="10.88"/>
    <col collapsed="false" customWidth="true" hidden="false" outlineLevel="0" max="10500" min="10500" style="2" width="11"/>
    <col collapsed="false" customWidth="true" hidden="false" outlineLevel="0" max="10502" min="10501" style="2" width="10.33"/>
    <col collapsed="false" customWidth="true" hidden="false" outlineLevel="0" max="10506" min="10503" style="2" width="11.67"/>
    <col collapsed="false" customWidth="false" hidden="false" outlineLevel="0" max="10750" min="10507" style="2" width="9.11"/>
    <col collapsed="false" customWidth="true" hidden="false" outlineLevel="0" max="10751" min="10751" style="2" width="2.44"/>
    <col collapsed="false" customWidth="true" hidden="false" outlineLevel="0" max="10752" min="10752" style="2" width="44.56"/>
    <col collapsed="false" customWidth="true" hidden="false" outlineLevel="0" max="10753" min="10753" style="2" width="11"/>
    <col collapsed="false" customWidth="true" hidden="false" outlineLevel="0" max="10754" min="10754" style="2" width="10"/>
    <col collapsed="false" customWidth="true" hidden="false" outlineLevel="0" max="10755" min="10755" style="2" width="10.88"/>
    <col collapsed="false" customWidth="true" hidden="false" outlineLevel="0" max="10756" min="10756" style="2" width="11"/>
    <col collapsed="false" customWidth="true" hidden="false" outlineLevel="0" max="10758" min="10757" style="2" width="10.33"/>
    <col collapsed="false" customWidth="true" hidden="false" outlineLevel="0" max="10762" min="10759" style="2" width="11.67"/>
    <col collapsed="false" customWidth="false" hidden="false" outlineLevel="0" max="11006" min="10763" style="2" width="9.11"/>
    <col collapsed="false" customWidth="true" hidden="false" outlineLevel="0" max="11007" min="11007" style="2" width="2.44"/>
    <col collapsed="false" customWidth="true" hidden="false" outlineLevel="0" max="11008" min="11008" style="2" width="44.56"/>
    <col collapsed="false" customWidth="true" hidden="false" outlineLevel="0" max="11009" min="11009" style="2" width="11"/>
    <col collapsed="false" customWidth="true" hidden="false" outlineLevel="0" max="11010" min="11010" style="2" width="10"/>
    <col collapsed="false" customWidth="true" hidden="false" outlineLevel="0" max="11011" min="11011" style="2" width="10.88"/>
    <col collapsed="false" customWidth="true" hidden="false" outlineLevel="0" max="11012" min="11012" style="2" width="11"/>
    <col collapsed="false" customWidth="true" hidden="false" outlineLevel="0" max="11014" min="11013" style="2" width="10.33"/>
    <col collapsed="false" customWidth="true" hidden="false" outlineLevel="0" max="11018" min="11015" style="2" width="11.67"/>
    <col collapsed="false" customWidth="false" hidden="false" outlineLevel="0" max="11262" min="11019" style="2" width="9.11"/>
    <col collapsed="false" customWidth="true" hidden="false" outlineLevel="0" max="11263" min="11263" style="2" width="2.44"/>
    <col collapsed="false" customWidth="true" hidden="false" outlineLevel="0" max="11264" min="11264" style="2" width="44.56"/>
    <col collapsed="false" customWidth="true" hidden="false" outlineLevel="0" max="11265" min="11265" style="2" width="11"/>
    <col collapsed="false" customWidth="true" hidden="false" outlineLevel="0" max="11266" min="11266" style="2" width="10"/>
    <col collapsed="false" customWidth="true" hidden="false" outlineLevel="0" max="11267" min="11267" style="2" width="10.88"/>
    <col collapsed="false" customWidth="true" hidden="false" outlineLevel="0" max="11268" min="11268" style="2" width="11"/>
    <col collapsed="false" customWidth="true" hidden="false" outlineLevel="0" max="11270" min="11269" style="2" width="10.33"/>
    <col collapsed="false" customWidth="true" hidden="false" outlineLevel="0" max="11274" min="11271" style="2" width="11.67"/>
    <col collapsed="false" customWidth="false" hidden="false" outlineLevel="0" max="11518" min="11275" style="2" width="9.11"/>
    <col collapsed="false" customWidth="true" hidden="false" outlineLevel="0" max="11519" min="11519" style="2" width="2.44"/>
    <col collapsed="false" customWidth="true" hidden="false" outlineLevel="0" max="11520" min="11520" style="2" width="44.56"/>
    <col collapsed="false" customWidth="true" hidden="false" outlineLevel="0" max="11521" min="11521" style="2" width="11"/>
    <col collapsed="false" customWidth="true" hidden="false" outlineLevel="0" max="11522" min="11522" style="2" width="10"/>
    <col collapsed="false" customWidth="true" hidden="false" outlineLevel="0" max="11523" min="11523" style="2" width="10.88"/>
    <col collapsed="false" customWidth="true" hidden="false" outlineLevel="0" max="11524" min="11524" style="2" width="11"/>
    <col collapsed="false" customWidth="true" hidden="false" outlineLevel="0" max="11526" min="11525" style="2" width="10.33"/>
    <col collapsed="false" customWidth="true" hidden="false" outlineLevel="0" max="11530" min="11527" style="2" width="11.67"/>
    <col collapsed="false" customWidth="false" hidden="false" outlineLevel="0" max="11774" min="11531" style="2" width="9.11"/>
    <col collapsed="false" customWidth="true" hidden="false" outlineLevel="0" max="11775" min="11775" style="2" width="2.44"/>
    <col collapsed="false" customWidth="true" hidden="false" outlineLevel="0" max="11776" min="11776" style="2" width="44.56"/>
    <col collapsed="false" customWidth="true" hidden="false" outlineLevel="0" max="11777" min="11777" style="2" width="11"/>
    <col collapsed="false" customWidth="true" hidden="false" outlineLevel="0" max="11778" min="11778" style="2" width="10"/>
    <col collapsed="false" customWidth="true" hidden="false" outlineLevel="0" max="11779" min="11779" style="2" width="10.88"/>
    <col collapsed="false" customWidth="true" hidden="false" outlineLevel="0" max="11780" min="11780" style="2" width="11"/>
    <col collapsed="false" customWidth="true" hidden="false" outlineLevel="0" max="11782" min="11781" style="2" width="10.33"/>
    <col collapsed="false" customWidth="true" hidden="false" outlineLevel="0" max="11786" min="11783" style="2" width="11.67"/>
    <col collapsed="false" customWidth="false" hidden="false" outlineLevel="0" max="12030" min="11787" style="2" width="9.11"/>
    <col collapsed="false" customWidth="true" hidden="false" outlineLevel="0" max="12031" min="12031" style="2" width="2.44"/>
    <col collapsed="false" customWidth="true" hidden="false" outlineLevel="0" max="12032" min="12032" style="2" width="44.56"/>
    <col collapsed="false" customWidth="true" hidden="false" outlineLevel="0" max="12033" min="12033" style="2" width="11"/>
    <col collapsed="false" customWidth="true" hidden="false" outlineLevel="0" max="12034" min="12034" style="2" width="10"/>
    <col collapsed="false" customWidth="true" hidden="false" outlineLevel="0" max="12035" min="12035" style="2" width="10.88"/>
    <col collapsed="false" customWidth="true" hidden="false" outlineLevel="0" max="12036" min="12036" style="2" width="11"/>
    <col collapsed="false" customWidth="true" hidden="false" outlineLevel="0" max="12038" min="12037" style="2" width="10.33"/>
    <col collapsed="false" customWidth="true" hidden="false" outlineLevel="0" max="12042" min="12039" style="2" width="11.67"/>
    <col collapsed="false" customWidth="false" hidden="false" outlineLevel="0" max="12286" min="12043" style="2" width="9.11"/>
    <col collapsed="false" customWidth="true" hidden="false" outlineLevel="0" max="12287" min="12287" style="2" width="2.44"/>
    <col collapsed="false" customWidth="true" hidden="false" outlineLevel="0" max="12288" min="12288" style="2" width="44.56"/>
    <col collapsed="false" customWidth="true" hidden="false" outlineLevel="0" max="12289" min="12289" style="2" width="11"/>
    <col collapsed="false" customWidth="true" hidden="false" outlineLevel="0" max="12290" min="12290" style="2" width="10"/>
    <col collapsed="false" customWidth="true" hidden="false" outlineLevel="0" max="12291" min="12291" style="2" width="10.88"/>
    <col collapsed="false" customWidth="true" hidden="false" outlineLevel="0" max="12292" min="12292" style="2" width="11"/>
    <col collapsed="false" customWidth="true" hidden="false" outlineLevel="0" max="12294" min="12293" style="2" width="10.33"/>
    <col collapsed="false" customWidth="true" hidden="false" outlineLevel="0" max="12298" min="12295" style="2" width="11.67"/>
    <col collapsed="false" customWidth="false" hidden="false" outlineLevel="0" max="12542" min="12299" style="2" width="9.11"/>
    <col collapsed="false" customWidth="true" hidden="false" outlineLevel="0" max="12543" min="12543" style="2" width="2.44"/>
    <col collapsed="false" customWidth="true" hidden="false" outlineLevel="0" max="12544" min="12544" style="2" width="44.56"/>
    <col collapsed="false" customWidth="true" hidden="false" outlineLevel="0" max="12545" min="12545" style="2" width="11"/>
    <col collapsed="false" customWidth="true" hidden="false" outlineLevel="0" max="12546" min="12546" style="2" width="10"/>
    <col collapsed="false" customWidth="true" hidden="false" outlineLevel="0" max="12547" min="12547" style="2" width="10.88"/>
    <col collapsed="false" customWidth="true" hidden="false" outlineLevel="0" max="12548" min="12548" style="2" width="11"/>
    <col collapsed="false" customWidth="true" hidden="false" outlineLevel="0" max="12550" min="12549" style="2" width="10.33"/>
    <col collapsed="false" customWidth="true" hidden="false" outlineLevel="0" max="12554" min="12551" style="2" width="11.67"/>
    <col collapsed="false" customWidth="false" hidden="false" outlineLevel="0" max="12798" min="12555" style="2" width="9.11"/>
    <col collapsed="false" customWidth="true" hidden="false" outlineLevel="0" max="12799" min="12799" style="2" width="2.44"/>
    <col collapsed="false" customWidth="true" hidden="false" outlineLevel="0" max="12800" min="12800" style="2" width="44.56"/>
    <col collapsed="false" customWidth="true" hidden="false" outlineLevel="0" max="12801" min="12801" style="2" width="11"/>
    <col collapsed="false" customWidth="true" hidden="false" outlineLevel="0" max="12802" min="12802" style="2" width="10"/>
    <col collapsed="false" customWidth="true" hidden="false" outlineLevel="0" max="12803" min="12803" style="2" width="10.88"/>
    <col collapsed="false" customWidth="true" hidden="false" outlineLevel="0" max="12804" min="12804" style="2" width="11"/>
    <col collapsed="false" customWidth="true" hidden="false" outlineLevel="0" max="12806" min="12805" style="2" width="10.33"/>
    <col collapsed="false" customWidth="true" hidden="false" outlineLevel="0" max="12810" min="12807" style="2" width="11.67"/>
    <col collapsed="false" customWidth="false" hidden="false" outlineLevel="0" max="13054" min="12811" style="2" width="9.11"/>
    <col collapsed="false" customWidth="true" hidden="false" outlineLevel="0" max="13055" min="13055" style="2" width="2.44"/>
    <col collapsed="false" customWidth="true" hidden="false" outlineLevel="0" max="13056" min="13056" style="2" width="44.56"/>
    <col collapsed="false" customWidth="true" hidden="false" outlineLevel="0" max="13057" min="13057" style="2" width="11"/>
    <col collapsed="false" customWidth="true" hidden="false" outlineLevel="0" max="13058" min="13058" style="2" width="10"/>
    <col collapsed="false" customWidth="true" hidden="false" outlineLevel="0" max="13059" min="13059" style="2" width="10.88"/>
    <col collapsed="false" customWidth="true" hidden="false" outlineLevel="0" max="13060" min="13060" style="2" width="11"/>
    <col collapsed="false" customWidth="true" hidden="false" outlineLevel="0" max="13062" min="13061" style="2" width="10.33"/>
    <col collapsed="false" customWidth="true" hidden="false" outlineLevel="0" max="13066" min="13063" style="2" width="11.67"/>
    <col collapsed="false" customWidth="false" hidden="false" outlineLevel="0" max="13310" min="13067" style="2" width="9.11"/>
    <col collapsed="false" customWidth="true" hidden="false" outlineLevel="0" max="13311" min="13311" style="2" width="2.44"/>
    <col collapsed="false" customWidth="true" hidden="false" outlineLevel="0" max="13312" min="13312" style="2" width="44.56"/>
    <col collapsed="false" customWidth="true" hidden="false" outlineLevel="0" max="13313" min="13313" style="2" width="11"/>
    <col collapsed="false" customWidth="true" hidden="false" outlineLevel="0" max="13314" min="13314" style="2" width="10"/>
    <col collapsed="false" customWidth="true" hidden="false" outlineLevel="0" max="13315" min="13315" style="2" width="10.88"/>
    <col collapsed="false" customWidth="true" hidden="false" outlineLevel="0" max="13316" min="13316" style="2" width="11"/>
    <col collapsed="false" customWidth="true" hidden="false" outlineLevel="0" max="13318" min="13317" style="2" width="10.33"/>
    <col collapsed="false" customWidth="true" hidden="false" outlineLevel="0" max="13322" min="13319" style="2" width="11.67"/>
    <col collapsed="false" customWidth="false" hidden="false" outlineLevel="0" max="13566" min="13323" style="2" width="9.11"/>
    <col collapsed="false" customWidth="true" hidden="false" outlineLevel="0" max="13567" min="13567" style="2" width="2.44"/>
    <col collapsed="false" customWidth="true" hidden="false" outlineLevel="0" max="13568" min="13568" style="2" width="44.56"/>
    <col collapsed="false" customWidth="true" hidden="false" outlineLevel="0" max="13569" min="13569" style="2" width="11"/>
    <col collapsed="false" customWidth="true" hidden="false" outlineLevel="0" max="13570" min="13570" style="2" width="10"/>
    <col collapsed="false" customWidth="true" hidden="false" outlineLevel="0" max="13571" min="13571" style="2" width="10.88"/>
    <col collapsed="false" customWidth="true" hidden="false" outlineLevel="0" max="13572" min="13572" style="2" width="11"/>
    <col collapsed="false" customWidth="true" hidden="false" outlineLevel="0" max="13574" min="13573" style="2" width="10.33"/>
    <col collapsed="false" customWidth="true" hidden="false" outlineLevel="0" max="13578" min="13575" style="2" width="11.67"/>
    <col collapsed="false" customWidth="false" hidden="false" outlineLevel="0" max="13822" min="13579" style="2" width="9.11"/>
    <col collapsed="false" customWidth="true" hidden="false" outlineLevel="0" max="13823" min="13823" style="2" width="2.44"/>
    <col collapsed="false" customWidth="true" hidden="false" outlineLevel="0" max="13824" min="13824" style="2" width="44.56"/>
    <col collapsed="false" customWidth="true" hidden="false" outlineLevel="0" max="13825" min="13825" style="2" width="11"/>
    <col collapsed="false" customWidth="true" hidden="false" outlineLevel="0" max="13826" min="13826" style="2" width="10"/>
    <col collapsed="false" customWidth="true" hidden="false" outlineLevel="0" max="13827" min="13827" style="2" width="10.88"/>
    <col collapsed="false" customWidth="true" hidden="false" outlineLevel="0" max="13828" min="13828" style="2" width="11"/>
    <col collapsed="false" customWidth="true" hidden="false" outlineLevel="0" max="13830" min="13829" style="2" width="10.33"/>
    <col collapsed="false" customWidth="true" hidden="false" outlineLevel="0" max="13834" min="13831" style="2" width="11.67"/>
    <col collapsed="false" customWidth="false" hidden="false" outlineLevel="0" max="14078" min="13835" style="2" width="9.11"/>
    <col collapsed="false" customWidth="true" hidden="false" outlineLevel="0" max="14079" min="14079" style="2" width="2.44"/>
    <col collapsed="false" customWidth="true" hidden="false" outlineLevel="0" max="14080" min="14080" style="2" width="44.56"/>
    <col collapsed="false" customWidth="true" hidden="false" outlineLevel="0" max="14081" min="14081" style="2" width="11"/>
    <col collapsed="false" customWidth="true" hidden="false" outlineLevel="0" max="14082" min="14082" style="2" width="10"/>
    <col collapsed="false" customWidth="true" hidden="false" outlineLevel="0" max="14083" min="14083" style="2" width="10.88"/>
    <col collapsed="false" customWidth="true" hidden="false" outlineLevel="0" max="14084" min="14084" style="2" width="11"/>
    <col collapsed="false" customWidth="true" hidden="false" outlineLevel="0" max="14086" min="14085" style="2" width="10.33"/>
    <col collapsed="false" customWidth="true" hidden="false" outlineLevel="0" max="14090" min="14087" style="2" width="11.67"/>
    <col collapsed="false" customWidth="false" hidden="false" outlineLevel="0" max="14334" min="14091" style="2" width="9.11"/>
    <col collapsed="false" customWidth="true" hidden="false" outlineLevel="0" max="14335" min="14335" style="2" width="2.44"/>
    <col collapsed="false" customWidth="true" hidden="false" outlineLevel="0" max="14336" min="14336" style="2" width="44.56"/>
    <col collapsed="false" customWidth="true" hidden="false" outlineLevel="0" max="14337" min="14337" style="2" width="11"/>
    <col collapsed="false" customWidth="true" hidden="false" outlineLevel="0" max="14338" min="14338" style="2" width="10"/>
    <col collapsed="false" customWidth="true" hidden="false" outlineLevel="0" max="14339" min="14339" style="2" width="10.88"/>
    <col collapsed="false" customWidth="true" hidden="false" outlineLevel="0" max="14340" min="14340" style="2" width="11"/>
    <col collapsed="false" customWidth="true" hidden="false" outlineLevel="0" max="14342" min="14341" style="2" width="10.33"/>
    <col collapsed="false" customWidth="true" hidden="false" outlineLevel="0" max="14346" min="14343" style="2" width="11.67"/>
    <col collapsed="false" customWidth="false" hidden="false" outlineLevel="0" max="14590" min="14347" style="2" width="9.11"/>
    <col collapsed="false" customWidth="true" hidden="false" outlineLevel="0" max="14591" min="14591" style="2" width="2.44"/>
    <col collapsed="false" customWidth="true" hidden="false" outlineLevel="0" max="14592" min="14592" style="2" width="44.56"/>
    <col collapsed="false" customWidth="true" hidden="false" outlineLevel="0" max="14593" min="14593" style="2" width="11"/>
    <col collapsed="false" customWidth="true" hidden="false" outlineLevel="0" max="14594" min="14594" style="2" width="10"/>
    <col collapsed="false" customWidth="true" hidden="false" outlineLevel="0" max="14595" min="14595" style="2" width="10.88"/>
    <col collapsed="false" customWidth="true" hidden="false" outlineLevel="0" max="14596" min="14596" style="2" width="11"/>
    <col collapsed="false" customWidth="true" hidden="false" outlineLevel="0" max="14598" min="14597" style="2" width="10.33"/>
    <col collapsed="false" customWidth="true" hidden="false" outlineLevel="0" max="14602" min="14599" style="2" width="11.67"/>
    <col collapsed="false" customWidth="false" hidden="false" outlineLevel="0" max="14846" min="14603" style="2" width="9.11"/>
    <col collapsed="false" customWidth="true" hidden="false" outlineLevel="0" max="14847" min="14847" style="2" width="2.44"/>
    <col collapsed="false" customWidth="true" hidden="false" outlineLevel="0" max="14848" min="14848" style="2" width="44.56"/>
    <col collapsed="false" customWidth="true" hidden="false" outlineLevel="0" max="14849" min="14849" style="2" width="11"/>
    <col collapsed="false" customWidth="true" hidden="false" outlineLevel="0" max="14850" min="14850" style="2" width="10"/>
    <col collapsed="false" customWidth="true" hidden="false" outlineLevel="0" max="14851" min="14851" style="2" width="10.88"/>
    <col collapsed="false" customWidth="true" hidden="false" outlineLevel="0" max="14852" min="14852" style="2" width="11"/>
    <col collapsed="false" customWidth="true" hidden="false" outlineLevel="0" max="14854" min="14853" style="2" width="10.33"/>
    <col collapsed="false" customWidth="true" hidden="false" outlineLevel="0" max="14858" min="14855" style="2" width="11.67"/>
    <col collapsed="false" customWidth="false" hidden="false" outlineLevel="0" max="15102" min="14859" style="2" width="9.11"/>
    <col collapsed="false" customWidth="true" hidden="false" outlineLevel="0" max="15103" min="15103" style="2" width="2.44"/>
    <col collapsed="false" customWidth="true" hidden="false" outlineLevel="0" max="15104" min="15104" style="2" width="44.56"/>
    <col collapsed="false" customWidth="true" hidden="false" outlineLevel="0" max="15105" min="15105" style="2" width="11"/>
    <col collapsed="false" customWidth="true" hidden="false" outlineLevel="0" max="15106" min="15106" style="2" width="10"/>
    <col collapsed="false" customWidth="true" hidden="false" outlineLevel="0" max="15107" min="15107" style="2" width="10.88"/>
    <col collapsed="false" customWidth="true" hidden="false" outlineLevel="0" max="15108" min="15108" style="2" width="11"/>
    <col collapsed="false" customWidth="true" hidden="false" outlineLevel="0" max="15110" min="15109" style="2" width="10.33"/>
    <col collapsed="false" customWidth="true" hidden="false" outlineLevel="0" max="15114" min="15111" style="2" width="11.67"/>
    <col collapsed="false" customWidth="false" hidden="false" outlineLevel="0" max="15358" min="15115" style="2" width="9.11"/>
    <col collapsed="false" customWidth="true" hidden="false" outlineLevel="0" max="15359" min="15359" style="2" width="2.44"/>
    <col collapsed="false" customWidth="true" hidden="false" outlineLevel="0" max="15360" min="15360" style="2" width="44.56"/>
    <col collapsed="false" customWidth="true" hidden="false" outlineLevel="0" max="15361" min="15361" style="2" width="11"/>
    <col collapsed="false" customWidth="true" hidden="false" outlineLevel="0" max="15362" min="15362" style="2" width="10"/>
    <col collapsed="false" customWidth="true" hidden="false" outlineLevel="0" max="15363" min="15363" style="2" width="10.88"/>
    <col collapsed="false" customWidth="true" hidden="false" outlineLevel="0" max="15364" min="15364" style="2" width="11"/>
    <col collapsed="false" customWidth="true" hidden="false" outlineLevel="0" max="15366" min="15365" style="2" width="10.33"/>
    <col collapsed="false" customWidth="true" hidden="false" outlineLevel="0" max="15370" min="15367" style="2" width="11.67"/>
    <col collapsed="false" customWidth="false" hidden="false" outlineLevel="0" max="15614" min="15371" style="2" width="9.11"/>
    <col collapsed="false" customWidth="true" hidden="false" outlineLevel="0" max="15615" min="15615" style="2" width="2.44"/>
    <col collapsed="false" customWidth="true" hidden="false" outlineLevel="0" max="15616" min="15616" style="2" width="44.56"/>
    <col collapsed="false" customWidth="true" hidden="false" outlineLevel="0" max="15617" min="15617" style="2" width="11"/>
    <col collapsed="false" customWidth="true" hidden="false" outlineLevel="0" max="15618" min="15618" style="2" width="10"/>
    <col collapsed="false" customWidth="true" hidden="false" outlineLevel="0" max="15619" min="15619" style="2" width="10.88"/>
    <col collapsed="false" customWidth="true" hidden="false" outlineLevel="0" max="15620" min="15620" style="2" width="11"/>
    <col collapsed="false" customWidth="true" hidden="false" outlineLevel="0" max="15622" min="15621" style="2" width="10.33"/>
    <col collapsed="false" customWidth="true" hidden="false" outlineLevel="0" max="15626" min="15623" style="2" width="11.67"/>
    <col collapsed="false" customWidth="false" hidden="false" outlineLevel="0" max="15870" min="15627" style="2" width="9.11"/>
    <col collapsed="false" customWidth="true" hidden="false" outlineLevel="0" max="15871" min="15871" style="2" width="2.44"/>
    <col collapsed="false" customWidth="true" hidden="false" outlineLevel="0" max="15872" min="15872" style="2" width="44.56"/>
    <col collapsed="false" customWidth="true" hidden="false" outlineLevel="0" max="15873" min="15873" style="2" width="11"/>
    <col collapsed="false" customWidth="true" hidden="false" outlineLevel="0" max="15874" min="15874" style="2" width="10"/>
    <col collapsed="false" customWidth="true" hidden="false" outlineLevel="0" max="15875" min="15875" style="2" width="10.88"/>
    <col collapsed="false" customWidth="true" hidden="false" outlineLevel="0" max="15876" min="15876" style="2" width="11"/>
    <col collapsed="false" customWidth="true" hidden="false" outlineLevel="0" max="15878" min="15877" style="2" width="10.33"/>
    <col collapsed="false" customWidth="true" hidden="false" outlineLevel="0" max="15882" min="15879" style="2" width="11.67"/>
    <col collapsed="false" customWidth="false" hidden="false" outlineLevel="0" max="16126" min="15883" style="2" width="9.11"/>
    <col collapsed="false" customWidth="true" hidden="false" outlineLevel="0" max="16127" min="16127" style="2" width="2.44"/>
    <col collapsed="false" customWidth="true" hidden="false" outlineLevel="0" max="16128" min="16128" style="2" width="44.56"/>
    <col collapsed="false" customWidth="true" hidden="false" outlineLevel="0" max="16129" min="16129" style="2" width="11"/>
    <col collapsed="false" customWidth="true" hidden="false" outlineLevel="0" max="16130" min="16130" style="2" width="10"/>
    <col collapsed="false" customWidth="true" hidden="false" outlineLevel="0" max="16131" min="16131" style="2" width="10.88"/>
    <col collapsed="false" customWidth="true" hidden="false" outlineLevel="0" max="16132" min="16132" style="2" width="11"/>
    <col collapsed="false" customWidth="true" hidden="false" outlineLevel="0" max="16134" min="16133" style="2" width="10.33"/>
    <col collapsed="false" customWidth="true" hidden="false" outlineLevel="0" max="16138" min="16135" style="2" width="11.67"/>
    <col collapsed="false" customWidth="false" hidden="false" outlineLevel="0" max="16384" min="16139" style="2" width="9.11"/>
  </cols>
  <sheetData>
    <row r="1" customFormat="false" ht="21.75" hidden="false" customHeight="true" outlineLevel="0" collapsed="false">
      <c r="A1" s="199" t="s">
        <v>0</v>
      </c>
    </row>
    <row r="2" s="2" customFormat="true" ht="18" hidden="false" customHeight="true" outlineLevel="0" collapsed="false">
      <c r="B2" s="200" t="s">
        <v>46</v>
      </c>
      <c r="C2" s="5"/>
      <c r="D2" s="5"/>
      <c r="E2" s="5"/>
      <c r="F2" s="5"/>
      <c r="G2" s="5"/>
      <c r="H2" s="5"/>
      <c r="I2" s="5"/>
      <c r="J2" s="5"/>
    </row>
    <row r="3" s="2" customFormat="true" ht="13.5" hidden="false" customHeight="true" outlineLevel="0" collapsed="false"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</row>
    <row r="4" s="2" customFormat="true" ht="13.5" hidden="false" customHeight="true" outlineLevel="0" collapsed="false">
      <c r="B4" s="201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</row>
    <row r="5" s="2" customFormat="true" ht="13.5" hidden="false" customHeight="true" outlineLevel="0" collapsed="false">
      <c r="B5" s="78"/>
      <c r="C5" s="79"/>
      <c r="D5" s="79"/>
      <c r="E5" s="80"/>
      <c r="F5" s="79"/>
      <c r="G5" s="79"/>
      <c r="H5" s="79"/>
      <c r="I5" s="79"/>
      <c r="J5" s="79"/>
    </row>
    <row r="6" customFormat="false" ht="13.5" hidden="false" customHeight="true" outlineLevel="0" collapsed="false">
      <c r="B6" s="81" t="s">
        <v>50</v>
      </c>
      <c r="C6" s="82"/>
      <c r="D6" s="82"/>
      <c r="E6" s="83"/>
      <c r="F6" s="84"/>
      <c r="G6" s="84"/>
      <c r="H6" s="84"/>
      <c r="I6" s="84"/>
      <c r="J6" s="84"/>
    </row>
    <row r="7" customFormat="false" ht="13.5" hidden="false" customHeight="true" outlineLevel="0" collapsed="false">
      <c r="B7" s="85" t="s">
        <v>51</v>
      </c>
      <c r="C7" s="17" t="n">
        <v>27.5</v>
      </c>
      <c r="D7" s="17" t="n">
        <v>85.6083422976172</v>
      </c>
      <c r="E7" s="17" t="n">
        <v>48.7132671456037</v>
      </c>
      <c r="F7" s="18" t="n">
        <f aca="false">'Cash Flow Statement'!F36</f>
        <v>30.0000000000002</v>
      </c>
      <c r="G7" s="18" t="n">
        <f aca="false">'Cash Flow Statement'!G36</f>
        <v>-1.32094012287916</v>
      </c>
      <c r="H7" s="18" t="n">
        <f aca="false">'Cash Flow Statement'!H36</f>
        <v>119.530976847194</v>
      </c>
      <c r="I7" s="18" t="n">
        <f aca="false">'Cash Flow Statement'!I36</f>
        <v>443.859246207103</v>
      </c>
      <c r="J7" s="18" t="n">
        <f aca="false">'Cash Flow Statement'!J36</f>
        <v>869.525597453859</v>
      </c>
    </row>
    <row r="8" customFormat="false" ht="13.5" hidden="false" customHeight="true" outlineLevel="0" collapsed="false">
      <c r="B8" s="85" t="s">
        <v>52</v>
      </c>
      <c r="C8" s="87" t="n">
        <v>40</v>
      </c>
      <c r="D8" s="87" t="n">
        <v>50</v>
      </c>
      <c r="E8" s="87" t="n">
        <v>60</v>
      </c>
      <c r="F8" s="88" t="n">
        <f aca="false">'Other Assets &amp; Liabilities'!F7</f>
        <v>70</v>
      </c>
      <c r="G8" s="88" t="n">
        <f aca="false">'Other Assets &amp; Liabilities'!G7</f>
        <v>80</v>
      </c>
      <c r="H8" s="88" t="n">
        <f aca="false">'Other Assets &amp; Liabilities'!H7</f>
        <v>90</v>
      </c>
      <c r="I8" s="88" t="n">
        <f aca="false">'Other Assets &amp; Liabilities'!I7</f>
        <v>100</v>
      </c>
      <c r="J8" s="88" t="n">
        <f aca="false">'Other Assets &amp; Liabilities'!J7</f>
        <v>110</v>
      </c>
    </row>
    <row r="9" customFormat="false" ht="13.5" hidden="false" customHeight="true" outlineLevel="0" collapsed="false">
      <c r="B9" s="89" t="s">
        <v>53</v>
      </c>
      <c r="C9" s="90" t="n">
        <v>462.9</v>
      </c>
      <c r="D9" s="90" t="n">
        <v>473.7</v>
      </c>
      <c r="E9" s="90" t="n">
        <v>473</v>
      </c>
      <c r="F9" s="18" t="n">
        <f aca="false">'Working Capital Forecast'!F7</f>
        <v>474.078278951921</v>
      </c>
      <c r="G9" s="18" t="n">
        <f aca="false">'Working Capital Forecast'!G7</f>
        <v>552.762781572147</v>
      </c>
      <c r="H9" s="18" t="n">
        <f aca="false">'Working Capital Forecast'!H7</f>
        <v>644.714645619086</v>
      </c>
      <c r="I9" s="18" t="n">
        <f aca="false">'Working Capital Forecast'!I7</f>
        <v>752.195682060657</v>
      </c>
      <c r="J9" s="18" t="n">
        <f aca="false">'Working Capital Forecast'!J7</f>
        <v>877.856198315739</v>
      </c>
    </row>
    <row r="10" customFormat="false" ht="13.5" hidden="false" customHeight="true" outlineLevel="0" collapsed="false">
      <c r="B10" s="29" t="s">
        <v>54</v>
      </c>
      <c r="C10" s="90" t="n">
        <v>327</v>
      </c>
      <c r="D10" s="90" t="n">
        <v>350.2</v>
      </c>
      <c r="E10" s="90" t="n">
        <v>383.8</v>
      </c>
      <c r="F10" s="18" t="n">
        <f aca="false">'Working Capital Forecast'!F8</f>
        <v>411.327884342998</v>
      </c>
      <c r="G10" s="18" t="n">
        <f aca="false">'Working Capital Forecast'!G8</f>
        <v>479.443484399501</v>
      </c>
      <c r="H10" s="18" t="n">
        <f aca="false">'Working Capital Forecast'!H8</f>
        <v>559.031342926632</v>
      </c>
      <c r="I10" s="18" t="n">
        <f aca="false">'Working Capital Forecast'!I8</f>
        <v>652.046641464277</v>
      </c>
      <c r="J10" s="18" t="n">
        <f aca="false">'Working Capital Forecast'!J8</f>
        <v>760.780482516343</v>
      </c>
    </row>
    <row r="11" customFormat="false" ht="13.5" hidden="false" customHeight="true" outlineLevel="0" collapsed="false">
      <c r="B11" s="29" t="s">
        <v>55</v>
      </c>
      <c r="C11" s="90" t="n">
        <v>87.4</v>
      </c>
      <c r="D11" s="90" t="n">
        <v>82.8</v>
      </c>
      <c r="E11" s="90" t="n">
        <v>83.5</v>
      </c>
      <c r="F11" s="91" t="n">
        <f aca="false">'Working Capital Forecast'!F9</f>
        <v>82.399319913072</v>
      </c>
      <c r="G11" s="91" t="n">
        <f aca="false">'Working Capital Forecast'!G9</f>
        <v>96.0754358446827</v>
      </c>
      <c r="H11" s="91" t="n">
        <f aca="false">'Working Capital Forecast'!H9</f>
        <v>112.057545548079</v>
      </c>
      <c r="I11" s="91" t="n">
        <f aca="false">'Working Capital Forecast'!I9</f>
        <v>130.738773310543</v>
      </c>
      <c r="J11" s="91" t="n">
        <f aca="false">'Working Capital Forecast'!J9</f>
        <v>152.579767802498</v>
      </c>
    </row>
    <row r="12" customFormat="false" ht="13.5" hidden="false" customHeight="true" outlineLevel="0" collapsed="false">
      <c r="B12" s="202" t="s">
        <v>56</v>
      </c>
      <c r="C12" s="203" t="n">
        <f aca="false">SUM(C7:C11)</f>
        <v>944.8</v>
      </c>
      <c r="D12" s="203" t="n">
        <f aca="false">SUM(D7:D11)</f>
        <v>1042.30834229762</v>
      </c>
      <c r="E12" s="203" t="n">
        <f aca="false">SUM(E7:E11)</f>
        <v>1049.0132671456</v>
      </c>
      <c r="F12" s="204" t="n">
        <f aca="false">SUM(F7:F11)</f>
        <v>1067.80548320799</v>
      </c>
      <c r="G12" s="205" t="n">
        <f aca="false">SUM(G7:G11)</f>
        <v>1206.96076169345</v>
      </c>
      <c r="H12" s="205" t="n">
        <f aca="false">SUM(H7:H11)</f>
        <v>1525.33451094099</v>
      </c>
      <c r="I12" s="205" t="n">
        <f aca="false">SUM(I7:I11)</f>
        <v>2078.84034304258</v>
      </c>
      <c r="J12" s="206" t="n">
        <f aca="false">SUM(J7:J11)</f>
        <v>2770.74204608844</v>
      </c>
    </row>
    <row r="13" customFormat="false" ht="13.5" hidden="false" customHeight="true" outlineLevel="0" collapsed="false">
      <c r="B13" s="99"/>
      <c r="C13" s="100"/>
      <c r="D13" s="100"/>
      <c r="E13" s="101"/>
      <c r="F13" s="100"/>
      <c r="G13" s="100"/>
      <c r="H13" s="100"/>
      <c r="I13" s="100"/>
      <c r="J13" s="100"/>
    </row>
    <row r="14" customFormat="false" ht="13.5" hidden="false" customHeight="true" outlineLevel="0" collapsed="false">
      <c r="B14" s="49" t="s">
        <v>57</v>
      </c>
      <c r="C14" s="207" t="n">
        <v>160</v>
      </c>
      <c r="D14" s="207" t="n">
        <v>180</v>
      </c>
      <c r="E14" s="208" t="n">
        <v>200</v>
      </c>
      <c r="F14" s="91" t="n">
        <f aca="false">'Other Assets &amp; Liabilities'!F8</f>
        <v>220</v>
      </c>
      <c r="G14" s="91" t="n">
        <f aca="false">'Other Assets &amp; Liabilities'!G8</f>
        <v>240</v>
      </c>
      <c r="H14" s="91" t="n">
        <f aca="false">'Other Assets &amp; Liabilities'!H8</f>
        <v>260</v>
      </c>
      <c r="I14" s="91" t="n">
        <f aca="false">'Other Assets &amp; Liabilities'!I8</f>
        <v>280</v>
      </c>
      <c r="J14" s="91" t="n">
        <f aca="false">'Other Assets &amp; Liabilities'!J8</f>
        <v>300</v>
      </c>
    </row>
    <row r="15" customFormat="false" ht="13.5" hidden="false" customHeight="true" outlineLevel="0" collapsed="false">
      <c r="B15" s="105"/>
      <c r="C15" s="5"/>
      <c r="D15" s="5"/>
      <c r="E15" s="106"/>
      <c r="F15" s="5"/>
      <c r="G15" s="5"/>
      <c r="H15" s="107"/>
      <c r="I15" s="5"/>
      <c r="J15" s="5"/>
    </row>
    <row r="16" customFormat="false" ht="13.5" hidden="false" customHeight="true" outlineLevel="0" collapsed="false">
      <c r="B16" s="109" t="s">
        <v>58</v>
      </c>
      <c r="C16" s="110" t="n">
        <v>30</v>
      </c>
      <c r="D16" s="110" t="n">
        <v>30</v>
      </c>
      <c r="E16" s="110" t="n">
        <v>30</v>
      </c>
      <c r="F16" s="111" t="n">
        <f aca="false">'Depreciation Capex Forecast'!F7</f>
        <v>30</v>
      </c>
      <c r="G16" s="111" t="n">
        <f aca="false">'Depreciation Capex Forecast'!G7</f>
        <v>30</v>
      </c>
      <c r="H16" s="111" t="n">
        <f aca="false">'Depreciation Capex Forecast'!H7</f>
        <v>30</v>
      </c>
      <c r="I16" s="111" t="n">
        <f aca="false">'Depreciation Capex Forecast'!I7</f>
        <v>30</v>
      </c>
      <c r="J16" s="111" t="n">
        <f aca="false">'Depreciation Capex Forecast'!J7</f>
        <v>30</v>
      </c>
    </row>
    <row r="17" customFormat="false" ht="13.5" hidden="false" customHeight="true" outlineLevel="0" collapsed="false">
      <c r="B17" s="109" t="s">
        <v>59</v>
      </c>
      <c r="C17" s="110" t="n">
        <f aca="false">550+80</f>
        <v>630</v>
      </c>
      <c r="D17" s="110" t="n">
        <v>700</v>
      </c>
      <c r="E17" s="110" t="n">
        <v>875</v>
      </c>
      <c r="F17" s="111" t="n">
        <f aca="false">'Depreciation Capex Forecast'!F8</f>
        <v>1080.99829978268</v>
      </c>
      <c r="G17" s="111" t="n">
        <f aca="false">'Depreciation Capex Forecast'!G8</f>
        <v>1321.18688939439</v>
      </c>
      <c r="H17" s="111" t="n">
        <f aca="false">'Depreciation Capex Forecast'!H8</f>
        <v>1601.33075326459</v>
      </c>
      <c r="I17" s="111" t="n">
        <f aca="false">'Depreciation Capex Forecast'!I8</f>
        <v>1928.17768654094</v>
      </c>
      <c r="J17" s="111" t="n">
        <f aca="false">'Depreciation Capex Forecast'!J8</f>
        <v>2309.62710604719</v>
      </c>
    </row>
    <row r="18" customFormat="false" ht="13.5" hidden="false" customHeight="true" outlineLevel="0" collapsed="false">
      <c r="B18" s="109" t="s">
        <v>60</v>
      </c>
      <c r="C18" s="110" t="n">
        <v>250</v>
      </c>
      <c r="D18" s="110" t="n">
        <v>325</v>
      </c>
      <c r="E18" s="110" t="n">
        <v>400</v>
      </c>
      <c r="F18" s="111" t="n">
        <f aca="false">'Depreciation Capex Forecast'!F9</f>
        <v>482.399319913072</v>
      </c>
      <c r="G18" s="111" t="n">
        <f aca="false">'Depreciation Capex Forecast'!G9</f>
        <v>578.474755757755</v>
      </c>
      <c r="H18" s="111" t="n">
        <f aca="false">'Depreciation Capex Forecast'!H9</f>
        <v>690.532301305834</v>
      </c>
      <c r="I18" s="111" t="n">
        <f aca="false">'Depreciation Capex Forecast'!I9</f>
        <v>821.271074616377</v>
      </c>
      <c r="J18" s="111" t="n">
        <f aca="false">'Depreciation Capex Forecast'!J9</f>
        <v>973.850842418874</v>
      </c>
    </row>
    <row r="19" customFormat="false" ht="13.5" hidden="false" customHeight="true" outlineLevel="0" collapsed="false">
      <c r="B19" s="112" t="s">
        <v>61</v>
      </c>
      <c r="C19" s="113" t="n">
        <f aca="false">SUM(C16:C18)</f>
        <v>910</v>
      </c>
      <c r="D19" s="113" t="n">
        <f aca="false">SUM(D16:D18)</f>
        <v>1055</v>
      </c>
      <c r="E19" s="209" t="n">
        <f aca="false">SUM(E16:E18)</f>
        <v>1305</v>
      </c>
      <c r="F19" s="114" t="n">
        <f aca="false">SUM(F16:F18)</f>
        <v>1593.39761969575</v>
      </c>
      <c r="G19" s="114" t="n">
        <f aca="false">SUM(G16:G18)</f>
        <v>1929.66164515214</v>
      </c>
      <c r="H19" s="114" t="n">
        <f aca="false">SUM(H16:H18)</f>
        <v>2321.86305457042</v>
      </c>
      <c r="I19" s="114" t="n">
        <f aca="false">SUM(I16:I18)</f>
        <v>2779.44876115732</v>
      </c>
      <c r="J19" s="114" t="n">
        <f aca="false">SUM(J16:J18)</f>
        <v>3313.47794846606</v>
      </c>
    </row>
    <row r="20" customFormat="false" ht="13.5" hidden="false" customHeight="true" outlineLevel="0" collapsed="false">
      <c r="B20" s="105" t="s">
        <v>62</v>
      </c>
      <c r="C20" s="116" t="n">
        <v>-101.9</v>
      </c>
      <c r="D20" s="116" t="n">
        <v>-225</v>
      </c>
      <c r="E20" s="116" t="n">
        <v>-365</v>
      </c>
      <c r="F20" s="117" t="n">
        <f aca="false">E20-'Depreciation Capex Forecast'!F57</f>
        <v>-516.533134974646</v>
      </c>
      <c r="G20" s="117" t="n">
        <f aca="false">F20-'Depreciation Capex Forecast'!G57</f>
        <v>-696.088272070658</v>
      </c>
      <c r="H20" s="117" t="n">
        <f aca="false">G20-'Depreciation Capex Forecast'!H57</f>
        <v>-908.326859951526</v>
      </c>
      <c r="I20" s="117" t="n">
        <f aca="false">H20-'Depreciation Capex Forecast'!I57</f>
        <v>-1158.69759004797</v>
      </c>
      <c r="J20" s="117" t="n">
        <f aca="false">I20-'Depreciation Capex Forecast'!J57</f>
        <v>-1453.57075242014</v>
      </c>
    </row>
    <row r="21" customFormat="false" ht="13.5" hidden="false" customHeight="true" outlineLevel="0" collapsed="false">
      <c r="B21" s="118" t="s">
        <v>63</v>
      </c>
      <c r="C21" s="90" t="n">
        <f aca="false">C19+C20</f>
        <v>808.1</v>
      </c>
      <c r="D21" s="90" t="n">
        <f aca="false">D19+D20</f>
        <v>830</v>
      </c>
      <c r="E21" s="90" t="n">
        <f aca="false">E19+E20</f>
        <v>940</v>
      </c>
      <c r="F21" s="210" t="n">
        <f aca="false">F19+F20</f>
        <v>1076.86448472111</v>
      </c>
      <c r="G21" s="210" t="n">
        <f aca="false">G19+G20</f>
        <v>1233.57337308148</v>
      </c>
      <c r="H21" s="210" t="n">
        <f aca="false">H19+H20</f>
        <v>1413.53619461889</v>
      </c>
      <c r="I21" s="210" t="n">
        <f aca="false">I19+I20</f>
        <v>1620.75117110935</v>
      </c>
      <c r="J21" s="210" t="n">
        <f aca="false">J19+J20</f>
        <v>1859.90719604592</v>
      </c>
    </row>
    <row r="22" customFormat="false" ht="13.5" hidden="false" customHeight="true" outlineLevel="0" collapsed="false">
      <c r="B22" s="29"/>
      <c r="C22" s="211"/>
      <c r="D22" s="211"/>
      <c r="E22" s="212"/>
      <c r="F22" s="213"/>
      <c r="G22" s="213"/>
      <c r="H22" s="213"/>
      <c r="I22" s="213"/>
      <c r="J22" s="213"/>
    </row>
    <row r="23" customFormat="false" ht="13.5" hidden="false" customHeight="true" outlineLevel="0" collapsed="false">
      <c r="B23" s="81" t="s">
        <v>64</v>
      </c>
      <c r="C23" s="211"/>
      <c r="D23" s="211"/>
      <c r="E23" s="212"/>
      <c r="F23" s="213"/>
      <c r="G23" s="213"/>
      <c r="H23" s="213"/>
      <c r="I23" s="213"/>
      <c r="J23" s="213"/>
    </row>
    <row r="24" customFormat="false" ht="13.5" hidden="false" customHeight="true" outlineLevel="0" collapsed="false">
      <c r="B24" s="29" t="s">
        <v>65</v>
      </c>
      <c r="C24" s="90" t="n">
        <v>46.5</v>
      </c>
      <c r="D24" s="90" t="n">
        <v>62.3</v>
      </c>
      <c r="E24" s="90" t="n">
        <v>80</v>
      </c>
      <c r="F24" s="91" t="n">
        <f aca="false">'Amortization Forecast'!F13</f>
        <v>99.6637551687059</v>
      </c>
      <c r="G24" s="91" t="n">
        <f aca="false">'Amortization Forecast'!G13</f>
        <v>120.954939276269</v>
      </c>
      <c r="H24" s="91" t="n">
        <f aca="false">'Amortization Forecast'!H13</f>
        <v>144.156665443267</v>
      </c>
      <c r="I24" s="91" t="n">
        <f aca="false">'Amortization Forecast'!I13</f>
        <v>169.601331782829</v>
      </c>
      <c r="J24" s="91" t="n">
        <f aca="false">'Amortization Forecast'!J13</f>
        <v>197.679205207073</v>
      </c>
    </row>
    <row r="25" customFormat="false" ht="13.5" hidden="false" customHeight="true" outlineLevel="0" collapsed="false">
      <c r="B25" s="29" t="s">
        <v>66</v>
      </c>
      <c r="C25" s="90" t="n">
        <v>1671.7</v>
      </c>
      <c r="D25" s="90" t="n">
        <v>1671.7</v>
      </c>
      <c r="E25" s="90" t="n">
        <v>1671.7</v>
      </c>
      <c r="F25" s="90" t="n">
        <f aca="false">'Other Assets &amp; Liabilities'!C6</f>
        <v>1671.7</v>
      </c>
      <c r="G25" s="90" t="n">
        <f aca="false">'Other Assets &amp; Liabilities'!D6</f>
        <v>1671.7</v>
      </c>
      <c r="H25" s="90" t="n">
        <f aca="false">'Other Assets &amp; Liabilities'!E6</f>
        <v>1671.7</v>
      </c>
      <c r="I25" s="90" t="n">
        <f aca="false">'Other Assets &amp; Liabilities'!F6</f>
        <v>1671.7</v>
      </c>
      <c r="J25" s="90" t="n">
        <f aca="false">'Other Assets &amp; Liabilities'!G6</f>
        <v>1671.7</v>
      </c>
    </row>
    <row r="26" customFormat="false" ht="13.5" hidden="false" customHeight="true" outlineLevel="0" collapsed="false">
      <c r="B26" s="125"/>
      <c r="C26" s="126"/>
      <c r="D26" s="126"/>
      <c r="E26" s="127"/>
      <c r="F26" s="128"/>
      <c r="G26" s="128"/>
      <c r="H26" s="128"/>
      <c r="I26" s="128"/>
      <c r="J26" s="128"/>
    </row>
    <row r="27" customFormat="false" ht="13.5" hidden="false" customHeight="true" outlineLevel="0" collapsed="false">
      <c r="B27" s="129" t="s">
        <v>67</v>
      </c>
      <c r="C27" s="130" t="n">
        <f aca="false">C12+C21+C24+C25+C14</f>
        <v>3631.1</v>
      </c>
      <c r="D27" s="130" t="n">
        <f aca="false">D12+D21+D24+D25+D14</f>
        <v>3786.30834229762</v>
      </c>
      <c r="E27" s="130" t="n">
        <f aca="false">E12+E21+E24+E25+E14</f>
        <v>3940.7132671456</v>
      </c>
      <c r="F27" s="214" t="n">
        <f aca="false">F12+F21+F24+F25+F14</f>
        <v>4136.0337230978</v>
      </c>
      <c r="G27" s="131" t="n">
        <f aca="false">G12+G21+G24+G25+G14</f>
        <v>4473.18907405121</v>
      </c>
      <c r="H27" s="131" t="n">
        <f aca="false">H12+H21+H24+H25+H14</f>
        <v>5014.72737100315</v>
      </c>
      <c r="I27" s="131" t="n">
        <f aca="false">I12+I21+I24+I25+I14</f>
        <v>5820.89284593476</v>
      </c>
      <c r="J27" s="131" t="n">
        <f aca="false">J12+J21+J24+J25+J14</f>
        <v>6800.02844734143</v>
      </c>
    </row>
    <row r="28" customFormat="false" ht="13.5" hidden="false" customHeight="true" outlineLevel="0" collapsed="false">
      <c r="B28" s="132"/>
      <c r="C28" s="133"/>
      <c r="D28" s="133"/>
      <c r="E28" s="134"/>
      <c r="F28" s="133"/>
      <c r="G28" s="133"/>
      <c r="H28" s="133"/>
      <c r="I28" s="133"/>
      <c r="J28" s="133"/>
    </row>
    <row r="29" customFormat="false" ht="13.5" hidden="false" customHeight="true" outlineLevel="0" collapsed="false">
      <c r="B29" s="135" t="s">
        <v>68</v>
      </c>
      <c r="C29" s="126"/>
      <c r="D29" s="126"/>
      <c r="E29" s="127"/>
      <c r="F29" s="128"/>
      <c r="G29" s="128"/>
      <c r="H29" s="128"/>
      <c r="I29" s="128"/>
      <c r="J29" s="128"/>
    </row>
    <row r="30" customFormat="false" ht="13.5" hidden="false" customHeight="true" outlineLevel="0" collapsed="false">
      <c r="B30" s="29" t="s">
        <v>69</v>
      </c>
      <c r="C30" s="17" t="n">
        <v>206.4</v>
      </c>
      <c r="D30" s="17" t="n">
        <v>221.4</v>
      </c>
      <c r="E30" s="17" t="n">
        <v>279.1</v>
      </c>
      <c r="F30" s="18" t="n">
        <f aca="false">'Working Capital Forecast'!F12</f>
        <v>308.495913257249</v>
      </c>
      <c r="G30" s="18" t="n">
        <f aca="false">'Working Capital Forecast'!G12</f>
        <v>359.582613299626</v>
      </c>
      <c r="H30" s="18" t="n">
        <f aca="false">'Working Capital Forecast'!H12</f>
        <v>419.273507194974</v>
      </c>
      <c r="I30" s="18" t="n">
        <f aca="false">'Working Capital Forecast'!I12</f>
        <v>489.034981098208</v>
      </c>
      <c r="J30" s="18" t="n">
        <f aca="false">'Working Capital Forecast'!J12</f>
        <v>570.585361887257</v>
      </c>
    </row>
    <row r="31" customFormat="false" ht="13.5" hidden="false" customHeight="true" outlineLevel="0" collapsed="false">
      <c r="B31" s="29" t="s">
        <v>70</v>
      </c>
      <c r="C31" s="90" t="n">
        <v>180.7</v>
      </c>
      <c r="D31" s="90" t="n">
        <v>161.3</v>
      </c>
      <c r="E31" s="90" t="n">
        <v>176.7</v>
      </c>
      <c r="F31" s="91" t="n">
        <f aca="false">'Working Capital Forecast'!F13</f>
        <v>200.179570380259</v>
      </c>
      <c r="G31" s="91" t="n">
        <f aca="false">'Working Capital Forecast'!G13</f>
        <v>233.329162407757</v>
      </c>
      <c r="H31" s="91" t="n">
        <f aca="false">'Working Capital Forecast'!H13</f>
        <v>272.061920224294</v>
      </c>
      <c r="I31" s="91" t="n">
        <f aca="false">'Working Capital Forecast'!I13</f>
        <v>317.329365512615</v>
      </c>
      <c r="J31" s="91" t="n">
        <f aca="false">'Working Capital Forecast'!J13</f>
        <v>370.246501491287</v>
      </c>
    </row>
    <row r="32" customFormat="false" ht="13.5" hidden="false" customHeight="true" outlineLevel="0" collapsed="false">
      <c r="B32" s="29" t="s">
        <v>71</v>
      </c>
      <c r="C32" s="90" t="n">
        <v>68.3</v>
      </c>
      <c r="D32" s="90" t="n">
        <v>62.8</v>
      </c>
      <c r="E32" s="90" t="n">
        <v>81.8</v>
      </c>
      <c r="F32" s="91" t="n">
        <f aca="false">'Working Capital Forecast'!F14</f>
        <v>87.5785620413634</v>
      </c>
      <c r="G32" s="91" t="n">
        <f aca="false">'Working Capital Forecast'!G14</f>
        <v>102.081508553394</v>
      </c>
      <c r="H32" s="91" t="n">
        <f aca="false">'Working Capital Forecast'!H14</f>
        <v>119.027090098129</v>
      </c>
      <c r="I32" s="91" t="n">
        <f aca="false">'Working Capital Forecast'!I14</f>
        <v>138.831597411769</v>
      </c>
      <c r="J32" s="91" t="n">
        <f aca="false">'Working Capital Forecast'!J14</f>
        <v>161.982844402438</v>
      </c>
    </row>
    <row r="33" customFormat="false" ht="13.5" hidden="false" customHeight="true" outlineLevel="0" collapsed="false">
      <c r="B33" s="202" t="s">
        <v>72</v>
      </c>
      <c r="C33" s="203" t="n">
        <f aca="false">SUM(C30:C32)</f>
        <v>455.4</v>
      </c>
      <c r="D33" s="203" t="n">
        <f aca="false">SUM(D30:D32)</f>
        <v>445.5</v>
      </c>
      <c r="E33" s="203" t="n">
        <f aca="false">SUM(E30:E32)</f>
        <v>537.6</v>
      </c>
      <c r="F33" s="204" t="n">
        <f aca="false">SUM(F30:F32)</f>
        <v>596.254045678871</v>
      </c>
      <c r="G33" s="205" t="n">
        <f aca="false">SUM(G30:G32)</f>
        <v>694.993284260777</v>
      </c>
      <c r="H33" s="205" t="n">
        <f aca="false">SUM(H30:H32)</f>
        <v>810.362517517397</v>
      </c>
      <c r="I33" s="205" t="n">
        <f aca="false">SUM(I30:I32)</f>
        <v>945.195944022592</v>
      </c>
      <c r="J33" s="206" t="n">
        <f aca="false">SUM(J30:J32)</f>
        <v>1102.81470778098</v>
      </c>
    </row>
    <row r="34" customFormat="false" ht="13.5" hidden="false" customHeight="true" outlineLevel="0" collapsed="false">
      <c r="C34" s="126"/>
      <c r="D34" s="126"/>
      <c r="E34" s="127"/>
      <c r="F34" s="141"/>
      <c r="G34" s="141"/>
      <c r="H34" s="141"/>
      <c r="I34" s="141"/>
      <c r="J34" s="141"/>
    </row>
    <row r="35" customFormat="false" ht="13.5" hidden="false" customHeight="true" outlineLevel="0" collapsed="false">
      <c r="B35" s="92" t="s">
        <v>73</v>
      </c>
      <c r="C35" s="142"/>
      <c r="D35" s="142"/>
      <c r="E35" s="143"/>
      <c r="F35" s="144"/>
      <c r="G35" s="144"/>
      <c r="H35" s="144"/>
      <c r="I35" s="144"/>
      <c r="J35" s="144"/>
    </row>
    <row r="36" customFormat="false" ht="13.5" hidden="false" customHeight="true" outlineLevel="0" collapsed="false">
      <c r="B36" s="29" t="s">
        <v>74</v>
      </c>
      <c r="C36" s="121" t="n">
        <v>250</v>
      </c>
      <c r="D36" s="121" t="n">
        <v>150</v>
      </c>
      <c r="E36" s="121" t="n">
        <v>101</v>
      </c>
      <c r="F36" s="91" t="n">
        <f aca="false">'Debt Forecast'!F28</f>
        <v>150.469299830258</v>
      </c>
      <c r="G36" s="91" t="n">
        <f aca="false">'Debt Forecast'!G28</f>
        <v>138.181305645344</v>
      </c>
      <c r="H36" s="91" t="n">
        <f aca="false">'Debt Forecast'!H28</f>
        <v>0</v>
      </c>
      <c r="I36" s="91" t="n">
        <f aca="false">'Debt Forecast'!I28</f>
        <v>0</v>
      </c>
      <c r="J36" s="91" t="n">
        <f aca="false">'Debt Forecast'!J28</f>
        <v>0</v>
      </c>
    </row>
    <row r="37" customFormat="false" ht="13.5" hidden="false" customHeight="true" outlineLevel="0" collapsed="false">
      <c r="B37" s="29" t="s">
        <v>75</v>
      </c>
      <c r="C37" s="90" t="n">
        <v>2200</v>
      </c>
      <c r="D37" s="90" t="n">
        <v>1990</v>
      </c>
      <c r="E37" s="90" t="n">
        <f aca="false">1535+100</f>
        <v>1635</v>
      </c>
      <c r="F37" s="91" t="n">
        <f aca="false">'Debt Forecast'!F34</f>
        <v>1335</v>
      </c>
      <c r="G37" s="91" t="n">
        <f aca="false">'Debt Forecast'!G34</f>
        <v>1135</v>
      </c>
      <c r="H37" s="91" t="n">
        <f aca="false">'Debt Forecast'!H34</f>
        <v>1035</v>
      </c>
      <c r="I37" s="91" t="n">
        <f aca="false">'Debt Forecast'!I34</f>
        <v>985</v>
      </c>
      <c r="J37" s="91" t="n">
        <f aca="false">'Debt Forecast'!J34</f>
        <v>935</v>
      </c>
      <c r="K37" s="124"/>
    </row>
    <row r="38" customFormat="false" ht="13.5" hidden="false" customHeight="true" outlineLevel="0" collapsed="false">
      <c r="B38" s="145" t="s">
        <v>76</v>
      </c>
      <c r="C38" s="96" t="n">
        <f aca="false">SUM(C36:C37)</f>
        <v>2450</v>
      </c>
      <c r="D38" s="96" t="n">
        <f aca="false">SUM(D36:D37)</f>
        <v>2140</v>
      </c>
      <c r="E38" s="97" t="n">
        <f aca="false">SUM(E36:E37)</f>
        <v>1736</v>
      </c>
      <c r="F38" s="140" t="n">
        <f aca="false">SUM(F36:F37)</f>
        <v>1485.46929983026</v>
      </c>
      <c r="G38" s="140" t="n">
        <f aca="false">SUM(G36:G37)</f>
        <v>1273.18130564534</v>
      </c>
      <c r="H38" s="140" t="n">
        <f aca="false">SUM(H36:H37)</f>
        <v>1035</v>
      </c>
      <c r="I38" s="140" t="n">
        <f aca="false">SUM(I36:I37)</f>
        <v>985</v>
      </c>
      <c r="J38" s="140" t="n">
        <f aca="false">SUM(J36:J37)</f>
        <v>935</v>
      </c>
      <c r="L38" s="215"/>
    </row>
    <row r="39" customFormat="false" ht="13.5" hidden="false" customHeight="true" outlineLevel="0" collapsed="false">
      <c r="C39" s="126"/>
      <c r="D39" s="126"/>
      <c r="E39" s="127"/>
      <c r="F39" s="141"/>
      <c r="G39" s="141"/>
      <c r="H39" s="141"/>
      <c r="I39" s="141"/>
      <c r="J39" s="141"/>
    </row>
    <row r="40" customFormat="false" ht="13.5" hidden="false" customHeight="true" outlineLevel="0" collapsed="false">
      <c r="B40" s="29" t="s">
        <v>77</v>
      </c>
      <c r="C40" s="90" t="n">
        <v>153</v>
      </c>
      <c r="D40" s="90" t="n">
        <v>157.3</v>
      </c>
      <c r="E40" s="90" t="n">
        <v>187.1</v>
      </c>
      <c r="F40" s="91" t="n">
        <f aca="false">'Other Assets &amp; Liabilities'!F9</f>
        <v>187.1</v>
      </c>
      <c r="G40" s="91" t="n">
        <f aca="false">'Other Assets &amp; Liabilities'!G9</f>
        <v>187.1</v>
      </c>
      <c r="H40" s="91" t="n">
        <f aca="false">'Other Assets &amp; Liabilities'!H9</f>
        <v>187.1</v>
      </c>
      <c r="I40" s="91" t="n">
        <f aca="false">'Other Assets &amp; Liabilities'!I9</f>
        <v>187.1</v>
      </c>
      <c r="J40" s="91" t="n">
        <f aca="false">'Other Assets &amp; Liabilities'!J9</f>
        <v>187.1</v>
      </c>
    </row>
    <row r="41" customFormat="false" ht="13.5" hidden="false" customHeight="true" outlineLevel="0" collapsed="false">
      <c r="B41" s="29" t="s">
        <v>78</v>
      </c>
      <c r="C41" s="90" t="n">
        <v>72.7</v>
      </c>
      <c r="D41" s="90" t="n">
        <v>54.4</v>
      </c>
      <c r="E41" s="90" t="n">
        <v>60.6</v>
      </c>
      <c r="F41" s="91" t="n">
        <f aca="false">'Other Assets &amp; Liabilities'!F10</f>
        <v>60.6</v>
      </c>
      <c r="G41" s="91" t="n">
        <f aca="false">'Other Assets &amp; Liabilities'!G10</f>
        <v>60.6</v>
      </c>
      <c r="H41" s="91" t="n">
        <f aca="false">'Other Assets &amp; Liabilities'!H10</f>
        <v>60.6</v>
      </c>
      <c r="I41" s="91" t="n">
        <f aca="false">'Other Assets &amp; Liabilities'!I10</f>
        <v>60.6</v>
      </c>
      <c r="J41" s="91" t="n">
        <f aca="false">'Other Assets &amp; Liabilities'!J10</f>
        <v>60.6</v>
      </c>
    </row>
    <row r="42" customFormat="false" ht="13.5" hidden="false" customHeight="true" outlineLevel="0" collapsed="false">
      <c r="B42" s="29"/>
      <c r="C42" s="146"/>
      <c r="D42" s="146"/>
      <c r="E42" s="147"/>
      <c r="F42" s="144"/>
      <c r="G42" s="144"/>
      <c r="H42" s="144"/>
      <c r="I42" s="144"/>
      <c r="J42" s="144"/>
    </row>
    <row r="43" customFormat="false" ht="13.5" hidden="false" customHeight="true" outlineLevel="0" collapsed="false">
      <c r="B43" s="148" t="s">
        <v>79</v>
      </c>
      <c r="C43" s="90" t="n">
        <v>1000</v>
      </c>
      <c r="D43" s="90" t="n">
        <v>1000</v>
      </c>
      <c r="E43" s="90" t="n">
        <v>1000</v>
      </c>
      <c r="F43" s="216" t="n">
        <f aca="false">'Shareholder''s Equity Forecast'!F12</f>
        <v>1000</v>
      </c>
      <c r="G43" s="91" t="n">
        <f aca="false">'Shareholder''s Equity Forecast'!G12</f>
        <v>1000</v>
      </c>
      <c r="H43" s="91" t="n">
        <f aca="false">'Shareholder''s Equity Forecast'!H12</f>
        <v>1000</v>
      </c>
      <c r="I43" s="91" t="n">
        <f aca="false">'Shareholder''s Equity Forecast'!I12</f>
        <v>1000</v>
      </c>
      <c r="J43" s="91" t="n">
        <f aca="false">'Shareholder''s Equity Forecast'!J12</f>
        <v>1000</v>
      </c>
    </row>
    <row r="44" customFormat="false" ht="13.5" hidden="false" customHeight="true" outlineLevel="0" collapsed="false">
      <c r="B44" s="148" t="s">
        <v>80</v>
      </c>
      <c r="C44" s="90" t="n">
        <v>-1500</v>
      </c>
      <c r="D44" s="90" t="n">
        <v>-1575</v>
      </c>
      <c r="E44" s="90" t="n">
        <v>-1655</v>
      </c>
      <c r="F44" s="91" t="n">
        <f aca="false">'Shareholder''s Equity Forecast'!F13</f>
        <v>-1755</v>
      </c>
      <c r="G44" s="91" t="n">
        <f aca="false">'Shareholder''s Equity Forecast'!G13</f>
        <v>-1855</v>
      </c>
      <c r="H44" s="91" t="n">
        <f aca="false">'Shareholder''s Equity Forecast'!H13</f>
        <v>-1955</v>
      </c>
      <c r="I44" s="91" t="n">
        <f aca="false">'Shareholder''s Equity Forecast'!I13</f>
        <v>-2055</v>
      </c>
      <c r="J44" s="91" t="n">
        <f aca="false">'Shareholder''s Equity Forecast'!J13</f>
        <v>-2155</v>
      </c>
    </row>
    <row r="45" customFormat="false" ht="13.5" hidden="false" customHeight="true" outlineLevel="0" collapsed="false">
      <c r="B45" s="148" t="s">
        <v>81</v>
      </c>
      <c r="C45" s="90" t="n">
        <v>1000</v>
      </c>
      <c r="D45" s="90" t="n">
        <v>1564.10834229762</v>
      </c>
      <c r="E45" s="90" t="n">
        <v>2074.4132671456</v>
      </c>
      <c r="F45" s="91" t="n">
        <f aca="false">'Shareholder''s Equity Forecast'!F14</f>
        <v>2561.06212201714</v>
      </c>
      <c r="G45" s="91" t="n">
        <f aca="false">'Shareholder''s Equity Forecast'!G14</f>
        <v>3137.46676119675</v>
      </c>
      <c r="H45" s="91" t="n">
        <f aca="false">'Shareholder''s Equity Forecast'!H14</f>
        <v>3819.28309602187</v>
      </c>
      <c r="I45" s="91" t="n">
        <f aca="false">'Shareholder''s Equity Forecast'!I14</f>
        <v>4624.56394632522</v>
      </c>
      <c r="J45" s="91" t="n">
        <f aca="false">'Shareholder''s Equity Forecast'!J14</f>
        <v>5573.27893895244</v>
      </c>
    </row>
    <row r="46" customFormat="false" ht="13.5" hidden="false" customHeight="true" outlineLevel="0" collapsed="false">
      <c r="B46" s="148" t="s">
        <v>82</v>
      </c>
      <c r="C46" s="90" t="n">
        <v>0</v>
      </c>
      <c r="D46" s="90" t="n">
        <v>0</v>
      </c>
      <c r="E46" s="90" t="n">
        <v>0</v>
      </c>
      <c r="F46" s="91" t="n">
        <f aca="false">'Shareholder''s Equity Forecast'!F15</f>
        <v>0</v>
      </c>
      <c r="G46" s="91" t="n">
        <f aca="false">'Shareholder''s Equity Forecast'!G15</f>
        <v>0</v>
      </c>
      <c r="H46" s="91" t="n">
        <f aca="false">'Shareholder''s Equity Forecast'!H15</f>
        <v>0</v>
      </c>
      <c r="I46" s="91" t="n">
        <f aca="false">'Shareholder''s Equity Forecast'!I15</f>
        <v>0</v>
      </c>
      <c r="J46" s="91" t="n">
        <f aca="false">'Shareholder''s Equity Forecast'!J15</f>
        <v>0</v>
      </c>
    </row>
    <row r="47" customFormat="false" ht="13.5" hidden="false" customHeight="true" outlineLevel="0" collapsed="false">
      <c r="B47" s="92" t="s">
        <v>83</v>
      </c>
      <c r="C47" s="149" t="n">
        <f aca="false">SUM(C43:C46)</f>
        <v>500</v>
      </c>
      <c r="D47" s="149" t="n">
        <f aca="false">SUM(D43:D46)</f>
        <v>989.10834229762</v>
      </c>
      <c r="E47" s="217" t="n">
        <f aca="false">SUM(E43:E46)</f>
        <v>1419.4132671456</v>
      </c>
      <c r="F47" s="150" t="n">
        <f aca="false">SUM(F43:F46)</f>
        <v>1806.06212201714</v>
      </c>
      <c r="G47" s="150" t="n">
        <f aca="false">SUM(G43:G46)</f>
        <v>2282.46676119675</v>
      </c>
      <c r="H47" s="150" t="n">
        <f aca="false">SUM(H43:H46)</f>
        <v>2864.28309602187</v>
      </c>
      <c r="I47" s="150" t="n">
        <f aca="false">SUM(I43:I46)</f>
        <v>3569.56394632522</v>
      </c>
      <c r="J47" s="150" t="n">
        <f aca="false">SUM(J43:J46)</f>
        <v>4418.27893895244</v>
      </c>
    </row>
    <row r="48" customFormat="false" ht="13.5" hidden="false" customHeight="true" outlineLevel="0" collapsed="false">
      <c r="C48" s="151"/>
      <c r="D48" s="151"/>
      <c r="E48" s="218"/>
      <c r="F48" s="144"/>
      <c r="G48" s="144"/>
      <c r="H48" s="144"/>
      <c r="I48" s="144"/>
      <c r="J48" s="144"/>
    </row>
    <row r="49" customFormat="false" ht="13.5" hidden="false" customHeight="true" outlineLevel="0" collapsed="false">
      <c r="B49" s="129" t="s">
        <v>84</v>
      </c>
      <c r="C49" s="130" t="n">
        <f aca="false">C47+C41+C40+C38+C33</f>
        <v>3631.1</v>
      </c>
      <c r="D49" s="130" t="n">
        <f aca="false">D47+D41+D40+D38+D33</f>
        <v>3786.30834229762</v>
      </c>
      <c r="E49" s="219" t="n">
        <f aca="false">E47+E41+E40+E38+E33</f>
        <v>3940.7132671456</v>
      </c>
      <c r="F49" s="220" t="n">
        <f aca="false">F47+F41+F40+F38+F33</f>
        <v>4135.48546752627</v>
      </c>
      <c r="G49" s="220" t="n">
        <f aca="false">G47+G41+G40+G38+G33</f>
        <v>4498.34135110287</v>
      </c>
      <c r="H49" s="220" t="n">
        <f aca="false">H47+H41+H40+H38+H33</f>
        <v>4957.34561353926</v>
      </c>
      <c r="I49" s="220" t="n">
        <f aca="false">I47+I41+I40+I38+I33</f>
        <v>5747.45989034781</v>
      </c>
      <c r="J49" s="220" t="n">
        <f aca="false">J47+J41+J40+J38+J33</f>
        <v>6703.79364673342</v>
      </c>
    </row>
    <row r="50" customFormat="false" ht="13.5" hidden="false" customHeight="true" outlineLevel="0" collapsed="false">
      <c r="B50" s="142"/>
      <c r="C50" s="5"/>
      <c r="D50" s="5"/>
      <c r="E50" s="5"/>
      <c r="F50" s="5"/>
      <c r="G50" s="5"/>
      <c r="H50" s="5"/>
      <c r="I50" s="5"/>
      <c r="J50" s="5"/>
    </row>
    <row r="51" customFormat="false" ht="13.5" hidden="false" customHeight="true" outlineLevel="0" collapsed="false">
      <c r="C51" s="93"/>
      <c r="D51" s="93"/>
      <c r="E51" s="93"/>
      <c r="F51" s="221"/>
      <c r="G51" s="221"/>
      <c r="H51" s="221"/>
      <c r="I51" s="221"/>
      <c r="J51" s="221"/>
    </row>
    <row r="52" customFormat="false" ht="13.5" hidden="false" customHeight="true" outlineLevel="0" collapsed="false">
      <c r="B52" s="222" t="s">
        <v>110</v>
      </c>
      <c r="C52" s="223" t="n">
        <f aca="false">C49-C27</f>
        <v>0</v>
      </c>
      <c r="D52" s="223" t="n">
        <f aca="false">D49-D27</f>
        <v>0</v>
      </c>
      <c r="E52" s="223" t="n">
        <f aca="false">E49-E27</f>
        <v>0</v>
      </c>
      <c r="F52" s="224"/>
      <c r="G52" s="224"/>
      <c r="H52" s="224"/>
      <c r="I52" s="224"/>
      <c r="J52" s="224"/>
    </row>
    <row r="53" customFormat="false" ht="13.5" hidden="false" customHeight="true" outlineLevel="0" collapsed="false">
      <c r="C53" s="124"/>
      <c r="D53" s="124"/>
      <c r="E53" s="124"/>
      <c r="F53" s="124"/>
      <c r="G53" s="124"/>
      <c r="H53" s="124"/>
      <c r="I53" s="124"/>
      <c r="J53" s="124"/>
    </row>
    <row r="54" customFormat="false" ht="13.5" hidden="false" customHeight="true" outlineLevel="0" collapsed="false">
      <c r="C54" s="124"/>
      <c r="D54" s="124"/>
      <c r="E54" s="124"/>
      <c r="F54" s="124"/>
      <c r="G54" s="124"/>
      <c r="H54" s="124"/>
      <c r="I54" s="124"/>
      <c r="J54" s="124"/>
    </row>
    <row r="55" customFormat="false" ht="13.5" hidden="false" customHeight="true" outlineLevel="0" collapsed="false">
      <c r="C55" s="124"/>
      <c r="D55" s="124"/>
      <c r="E55" s="124"/>
      <c r="F55" s="124"/>
      <c r="G55" s="124"/>
      <c r="H55" s="124"/>
      <c r="I55" s="124"/>
      <c r="J55" s="124"/>
    </row>
    <row r="56" customFormat="false" ht="13.5" hidden="false" customHeight="true" outlineLevel="0" collapsed="false">
      <c r="C56" s="124"/>
      <c r="D56" s="124"/>
      <c r="E56" s="124"/>
      <c r="F56" s="124"/>
      <c r="G56" s="124"/>
      <c r="H56" s="124"/>
      <c r="I56" s="124"/>
      <c r="J56" s="124"/>
    </row>
  </sheetData>
  <mergeCells count="2">
    <mergeCell ref="C3:E3"/>
    <mergeCell ref="F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7864"/>
    <pageSetUpPr fitToPage="false"/>
  </sheetPr>
  <dimension ref="A1:K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B23" activeCellId="0" sqref="B23"/>
    </sheetView>
  </sheetViews>
  <sheetFormatPr defaultColWidth="9.109375" defaultRowHeight="13.5" zeroHeight="false" outlineLevelRow="0" outlineLevelCol="0"/>
  <cols>
    <col collapsed="false" customWidth="true" hidden="false" outlineLevel="0" max="1" min="1" style="225" width="3"/>
    <col collapsed="false" customWidth="true" hidden="false" outlineLevel="0" max="2" min="2" style="226" width="34"/>
    <col collapsed="false" customWidth="true" hidden="false" outlineLevel="0" max="6" min="3" style="226" width="13"/>
    <col collapsed="false" customWidth="true" hidden="false" outlineLevel="0" max="9" min="7" style="226" width="12"/>
    <col collapsed="false" customWidth="true" hidden="false" outlineLevel="0" max="10" min="10" style="226" width="13.11"/>
    <col collapsed="false" customWidth="false" hidden="false" outlineLevel="0" max="254" min="11" style="226" width="9.11"/>
    <col collapsed="false" customWidth="true" hidden="false" outlineLevel="0" max="255" min="255" style="226" width="2.44"/>
    <col collapsed="false" customWidth="true" hidden="false" outlineLevel="0" max="256" min="256" style="226" width="56.88"/>
    <col collapsed="false" customWidth="true" hidden="false" outlineLevel="0" max="257" min="257" style="226" width="10.11"/>
    <col collapsed="false" customWidth="true" hidden="false" outlineLevel="0" max="266" min="258" style="226" width="12.67"/>
    <col collapsed="false" customWidth="false" hidden="false" outlineLevel="0" max="510" min="267" style="226" width="9.11"/>
    <col collapsed="false" customWidth="true" hidden="false" outlineLevel="0" max="511" min="511" style="226" width="2.44"/>
    <col collapsed="false" customWidth="true" hidden="false" outlineLevel="0" max="512" min="512" style="226" width="56.88"/>
    <col collapsed="false" customWidth="true" hidden="false" outlineLevel="0" max="513" min="513" style="226" width="10.11"/>
    <col collapsed="false" customWidth="true" hidden="false" outlineLevel="0" max="522" min="514" style="226" width="12.67"/>
    <col collapsed="false" customWidth="false" hidden="false" outlineLevel="0" max="766" min="523" style="226" width="9.11"/>
    <col collapsed="false" customWidth="true" hidden="false" outlineLevel="0" max="767" min="767" style="226" width="2.44"/>
    <col collapsed="false" customWidth="true" hidden="false" outlineLevel="0" max="768" min="768" style="226" width="56.88"/>
    <col collapsed="false" customWidth="true" hidden="false" outlineLevel="0" max="769" min="769" style="226" width="10.11"/>
    <col collapsed="false" customWidth="true" hidden="false" outlineLevel="0" max="778" min="770" style="226" width="12.67"/>
    <col collapsed="false" customWidth="false" hidden="false" outlineLevel="0" max="1022" min="779" style="226" width="9.11"/>
    <col collapsed="false" customWidth="true" hidden="false" outlineLevel="0" max="1023" min="1023" style="226" width="2.44"/>
    <col collapsed="false" customWidth="true" hidden="false" outlineLevel="0" max="1024" min="1024" style="226" width="56.88"/>
    <col collapsed="false" customWidth="true" hidden="false" outlineLevel="0" max="1025" min="1025" style="226" width="10.11"/>
    <col collapsed="false" customWidth="true" hidden="false" outlineLevel="0" max="1034" min="1026" style="226" width="12.67"/>
    <col collapsed="false" customWidth="false" hidden="false" outlineLevel="0" max="1278" min="1035" style="226" width="9.11"/>
    <col collapsed="false" customWidth="true" hidden="false" outlineLevel="0" max="1279" min="1279" style="226" width="2.44"/>
    <col collapsed="false" customWidth="true" hidden="false" outlineLevel="0" max="1280" min="1280" style="226" width="56.88"/>
    <col collapsed="false" customWidth="true" hidden="false" outlineLevel="0" max="1281" min="1281" style="226" width="10.11"/>
    <col collapsed="false" customWidth="true" hidden="false" outlineLevel="0" max="1290" min="1282" style="226" width="12.67"/>
    <col collapsed="false" customWidth="false" hidden="false" outlineLevel="0" max="1534" min="1291" style="226" width="9.11"/>
    <col collapsed="false" customWidth="true" hidden="false" outlineLevel="0" max="1535" min="1535" style="226" width="2.44"/>
    <col collapsed="false" customWidth="true" hidden="false" outlineLevel="0" max="1536" min="1536" style="226" width="56.88"/>
    <col collapsed="false" customWidth="true" hidden="false" outlineLevel="0" max="1537" min="1537" style="226" width="10.11"/>
    <col collapsed="false" customWidth="true" hidden="false" outlineLevel="0" max="1546" min="1538" style="226" width="12.67"/>
    <col collapsed="false" customWidth="false" hidden="false" outlineLevel="0" max="1790" min="1547" style="226" width="9.11"/>
    <col collapsed="false" customWidth="true" hidden="false" outlineLevel="0" max="1791" min="1791" style="226" width="2.44"/>
    <col collapsed="false" customWidth="true" hidden="false" outlineLevel="0" max="1792" min="1792" style="226" width="56.88"/>
    <col collapsed="false" customWidth="true" hidden="false" outlineLevel="0" max="1793" min="1793" style="226" width="10.11"/>
    <col collapsed="false" customWidth="true" hidden="false" outlineLevel="0" max="1802" min="1794" style="226" width="12.67"/>
    <col collapsed="false" customWidth="false" hidden="false" outlineLevel="0" max="2046" min="1803" style="226" width="9.11"/>
    <col collapsed="false" customWidth="true" hidden="false" outlineLevel="0" max="2047" min="2047" style="226" width="2.44"/>
    <col collapsed="false" customWidth="true" hidden="false" outlineLevel="0" max="2048" min="2048" style="226" width="56.88"/>
    <col collapsed="false" customWidth="true" hidden="false" outlineLevel="0" max="2049" min="2049" style="226" width="10.11"/>
    <col collapsed="false" customWidth="true" hidden="false" outlineLevel="0" max="2058" min="2050" style="226" width="12.67"/>
    <col collapsed="false" customWidth="false" hidden="false" outlineLevel="0" max="2302" min="2059" style="226" width="9.11"/>
    <col collapsed="false" customWidth="true" hidden="false" outlineLevel="0" max="2303" min="2303" style="226" width="2.44"/>
    <col collapsed="false" customWidth="true" hidden="false" outlineLevel="0" max="2304" min="2304" style="226" width="56.88"/>
    <col collapsed="false" customWidth="true" hidden="false" outlineLevel="0" max="2305" min="2305" style="226" width="10.11"/>
    <col collapsed="false" customWidth="true" hidden="false" outlineLevel="0" max="2314" min="2306" style="226" width="12.67"/>
    <col collapsed="false" customWidth="false" hidden="false" outlineLevel="0" max="2558" min="2315" style="226" width="9.11"/>
    <col collapsed="false" customWidth="true" hidden="false" outlineLevel="0" max="2559" min="2559" style="226" width="2.44"/>
    <col collapsed="false" customWidth="true" hidden="false" outlineLevel="0" max="2560" min="2560" style="226" width="56.88"/>
    <col collapsed="false" customWidth="true" hidden="false" outlineLevel="0" max="2561" min="2561" style="226" width="10.11"/>
    <col collapsed="false" customWidth="true" hidden="false" outlineLevel="0" max="2570" min="2562" style="226" width="12.67"/>
    <col collapsed="false" customWidth="false" hidden="false" outlineLevel="0" max="2814" min="2571" style="226" width="9.11"/>
    <col collapsed="false" customWidth="true" hidden="false" outlineLevel="0" max="2815" min="2815" style="226" width="2.44"/>
    <col collapsed="false" customWidth="true" hidden="false" outlineLevel="0" max="2816" min="2816" style="226" width="56.88"/>
    <col collapsed="false" customWidth="true" hidden="false" outlineLevel="0" max="2817" min="2817" style="226" width="10.11"/>
    <col collapsed="false" customWidth="true" hidden="false" outlineLevel="0" max="2826" min="2818" style="226" width="12.67"/>
    <col collapsed="false" customWidth="false" hidden="false" outlineLevel="0" max="3070" min="2827" style="226" width="9.11"/>
    <col collapsed="false" customWidth="true" hidden="false" outlineLevel="0" max="3071" min="3071" style="226" width="2.44"/>
    <col collapsed="false" customWidth="true" hidden="false" outlineLevel="0" max="3072" min="3072" style="226" width="56.88"/>
    <col collapsed="false" customWidth="true" hidden="false" outlineLevel="0" max="3073" min="3073" style="226" width="10.11"/>
    <col collapsed="false" customWidth="true" hidden="false" outlineLevel="0" max="3082" min="3074" style="226" width="12.67"/>
    <col collapsed="false" customWidth="false" hidden="false" outlineLevel="0" max="3326" min="3083" style="226" width="9.11"/>
    <col collapsed="false" customWidth="true" hidden="false" outlineLevel="0" max="3327" min="3327" style="226" width="2.44"/>
    <col collapsed="false" customWidth="true" hidden="false" outlineLevel="0" max="3328" min="3328" style="226" width="56.88"/>
    <col collapsed="false" customWidth="true" hidden="false" outlineLevel="0" max="3329" min="3329" style="226" width="10.11"/>
    <col collapsed="false" customWidth="true" hidden="false" outlineLevel="0" max="3338" min="3330" style="226" width="12.67"/>
    <col collapsed="false" customWidth="false" hidden="false" outlineLevel="0" max="3582" min="3339" style="226" width="9.11"/>
    <col collapsed="false" customWidth="true" hidden="false" outlineLevel="0" max="3583" min="3583" style="226" width="2.44"/>
    <col collapsed="false" customWidth="true" hidden="false" outlineLevel="0" max="3584" min="3584" style="226" width="56.88"/>
    <col collapsed="false" customWidth="true" hidden="false" outlineLevel="0" max="3585" min="3585" style="226" width="10.11"/>
    <col collapsed="false" customWidth="true" hidden="false" outlineLevel="0" max="3594" min="3586" style="226" width="12.67"/>
    <col collapsed="false" customWidth="false" hidden="false" outlineLevel="0" max="3838" min="3595" style="226" width="9.11"/>
    <col collapsed="false" customWidth="true" hidden="false" outlineLevel="0" max="3839" min="3839" style="226" width="2.44"/>
    <col collapsed="false" customWidth="true" hidden="false" outlineLevel="0" max="3840" min="3840" style="226" width="56.88"/>
    <col collapsed="false" customWidth="true" hidden="false" outlineLevel="0" max="3841" min="3841" style="226" width="10.11"/>
    <col collapsed="false" customWidth="true" hidden="false" outlineLevel="0" max="3850" min="3842" style="226" width="12.67"/>
    <col collapsed="false" customWidth="false" hidden="false" outlineLevel="0" max="4094" min="3851" style="226" width="9.11"/>
    <col collapsed="false" customWidth="true" hidden="false" outlineLevel="0" max="4095" min="4095" style="226" width="2.44"/>
    <col collapsed="false" customWidth="true" hidden="false" outlineLevel="0" max="4096" min="4096" style="226" width="56.88"/>
    <col collapsed="false" customWidth="true" hidden="false" outlineLevel="0" max="4097" min="4097" style="226" width="10.11"/>
    <col collapsed="false" customWidth="true" hidden="false" outlineLevel="0" max="4106" min="4098" style="226" width="12.67"/>
    <col collapsed="false" customWidth="false" hidden="false" outlineLevel="0" max="4350" min="4107" style="226" width="9.11"/>
    <col collapsed="false" customWidth="true" hidden="false" outlineLevel="0" max="4351" min="4351" style="226" width="2.44"/>
    <col collapsed="false" customWidth="true" hidden="false" outlineLevel="0" max="4352" min="4352" style="226" width="56.88"/>
    <col collapsed="false" customWidth="true" hidden="false" outlineLevel="0" max="4353" min="4353" style="226" width="10.11"/>
    <col collapsed="false" customWidth="true" hidden="false" outlineLevel="0" max="4362" min="4354" style="226" width="12.67"/>
    <col collapsed="false" customWidth="false" hidden="false" outlineLevel="0" max="4606" min="4363" style="226" width="9.11"/>
    <col collapsed="false" customWidth="true" hidden="false" outlineLevel="0" max="4607" min="4607" style="226" width="2.44"/>
    <col collapsed="false" customWidth="true" hidden="false" outlineLevel="0" max="4608" min="4608" style="226" width="56.88"/>
    <col collapsed="false" customWidth="true" hidden="false" outlineLevel="0" max="4609" min="4609" style="226" width="10.11"/>
    <col collapsed="false" customWidth="true" hidden="false" outlineLevel="0" max="4618" min="4610" style="226" width="12.67"/>
    <col collapsed="false" customWidth="false" hidden="false" outlineLevel="0" max="4862" min="4619" style="226" width="9.11"/>
    <col collapsed="false" customWidth="true" hidden="false" outlineLevel="0" max="4863" min="4863" style="226" width="2.44"/>
    <col collapsed="false" customWidth="true" hidden="false" outlineLevel="0" max="4864" min="4864" style="226" width="56.88"/>
    <col collapsed="false" customWidth="true" hidden="false" outlineLevel="0" max="4865" min="4865" style="226" width="10.11"/>
    <col collapsed="false" customWidth="true" hidden="false" outlineLevel="0" max="4874" min="4866" style="226" width="12.67"/>
    <col collapsed="false" customWidth="false" hidden="false" outlineLevel="0" max="5118" min="4875" style="226" width="9.11"/>
    <col collapsed="false" customWidth="true" hidden="false" outlineLevel="0" max="5119" min="5119" style="226" width="2.44"/>
    <col collapsed="false" customWidth="true" hidden="false" outlineLevel="0" max="5120" min="5120" style="226" width="56.88"/>
    <col collapsed="false" customWidth="true" hidden="false" outlineLevel="0" max="5121" min="5121" style="226" width="10.11"/>
    <col collapsed="false" customWidth="true" hidden="false" outlineLevel="0" max="5130" min="5122" style="226" width="12.67"/>
    <col collapsed="false" customWidth="false" hidden="false" outlineLevel="0" max="5374" min="5131" style="226" width="9.11"/>
    <col collapsed="false" customWidth="true" hidden="false" outlineLevel="0" max="5375" min="5375" style="226" width="2.44"/>
    <col collapsed="false" customWidth="true" hidden="false" outlineLevel="0" max="5376" min="5376" style="226" width="56.88"/>
    <col collapsed="false" customWidth="true" hidden="false" outlineLevel="0" max="5377" min="5377" style="226" width="10.11"/>
    <col collapsed="false" customWidth="true" hidden="false" outlineLevel="0" max="5386" min="5378" style="226" width="12.67"/>
    <col collapsed="false" customWidth="false" hidden="false" outlineLevel="0" max="5630" min="5387" style="226" width="9.11"/>
    <col collapsed="false" customWidth="true" hidden="false" outlineLevel="0" max="5631" min="5631" style="226" width="2.44"/>
    <col collapsed="false" customWidth="true" hidden="false" outlineLevel="0" max="5632" min="5632" style="226" width="56.88"/>
    <col collapsed="false" customWidth="true" hidden="false" outlineLevel="0" max="5633" min="5633" style="226" width="10.11"/>
    <col collapsed="false" customWidth="true" hidden="false" outlineLevel="0" max="5642" min="5634" style="226" width="12.67"/>
    <col collapsed="false" customWidth="false" hidden="false" outlineLevel="0" max="5886" min="5643" style="226" width="9.11"/>
    <col collapsed="false" customWidth="true" hidden="false" outlineLevel="0" max="5887" min="5887" style="226" width="2.44"/>
    <col collapsed="false" customWidth="true" hidden="false" outlineLevel="0" max="5888" min="5888" style="226" width="56.88"/>
    <col collapsed="false" customWidth="true" hidden="false" outlineLevel="0" max="5889" min="5889" style="226" width="10.11"/>
    <col collapsed="false" customWidth="true" hidden="false" outlineLevel="0" max="5898" min="5890" style="226" width="12.67"/>
    <col collapsed="false" customWidth="false" hidden="false" outlineLevel="0" max="6142" min="5899" style="226" width="9.11"/>
    <col collapsed="false" customWidth="true" hidden="false" outlineLevel="0" max="6143" min="6143" style="226" width="2.44"/>
    <col collapsed="false" customWidth="true" hidden="false" outlineLevel="0" max="6144" min="6144" style="226" width="56.88"/>
    <col collapsed="false" customWidth="true" hidden="false" outlineLevel="0" max="6145" min="6145" style="226" width="10.11"/>
    <col collapsed="false" customWidth="true" hidden="false" outlineLevel="0" max="6154" min="6146" style="226" width="12.67"/>
    <col collapsed="false" customWidth="false" hidden="false" outlineLevel="0" max="6398" min="6155" style="226" width="9.11"/>
    <col collapsed="false" customWidth="true" hidden="false" outlineLevel="0" max="6399" min="6399" style="226" width="2.44"/>
    <col collapsed="false" customWidth="true" hidden="false" outlineLevel="0" max="6400" min="6400" style="226" width="56.88"/>
    <col collapsed="false" customWidth="true" hidden="false" outlineLevel="0" max="6401" min="6401" style="226" width="10.11"/>
    <col collapsed="false" customWidth="true" hidden="false" outlineLevel="0" max="6410" min="6402" style="226" width="12.67"/>
    <col collapsed="false" customWidth="false" hidden="false" outlineLevel="0" max="6654" min="6411" style="226" width="9.11"/>
    <col collapsed="false" customWidth="true" hidden="false" outlineLevel="0" max="6655" min="6655" style="226" width="2.44"/>
    <col collapsed="false" customWidth="true" hidden="false" outlineLevel="0" max="6656" min="6656" style="226" width="56.88"/>
    <col collapsed="false" customWidth="true" hidden="false" outlineLevel="0" max="6657" min="6657" style="226" width="10.11"/>
    <col collapsed="false" customWidth="true" hidden="false" outlineLevel="0" max="6666" min="6658" style="226" width="12.67"/>
    <col collapsed="false" customWidth="false" hidden="false" outlineLevel="0" max="6910" min="6667" style="226" width="9.11"/>
    <col collapsed="false" customWidth="true" hidden="false" outlineLevel="0" max="6911" min="6911" style="226" width="2.44"/>
    <col collapsed="false" customWidth="true" hidden="false" outlineLevel="0" max="6912" min="6912" style="226" width="56.88"/>
    <col collapsed="false" customWidth="true" hidden="false" outlineLevel="0" max="6913" min="6913" style="226" width="10.11"/>
    <col collapsed="false" customWidth="true" hidden="false" outlineLevel="0" max="6922" min="6914" style="226" width="12.67"/>
    <col collapsed="false" customWidth="false" hidden="false" outlineLevel="0" max="7166" min="6923" style="226" width="9.11"/>
    <col collapsed="false" customWidth="true" hidden="false" outlineLevel="0" max="7167" min="7167" style="226" width="2.44"/>
    <col collapsed="false" customWidth="true" hidden="false" outlineLevel="0" max="7168" min="7168" style="226" width="56.88"/>
    <col collapsed="false" customWidth="true" hidden="false" outlineLevel="0" max="7169" min="7169" style="226" width="10.11"/>
    <col collapsed="false" customWidth="true" hidden="false" outlineLevel="0" max="7178" min="7170" style="226" width="12.67"/>
    <col collapsed="false" customWidth="false" hidden="false" outlineLevel="0" max="7422" min="7179" style="226" width="9.11"/>
    <col collapsed="false" customWidth="true" hidden="false" outlineLevel="0" max="7423" min="7423" style="226" width="2.44"/>
    <col collapsed="false" customWidth="true" hidden="false" outlineLevel="0" max="7424" min="7424" style="226" width="56.88"/>
    <col collapsed="false" customWidth="true" hidden="false" outlineLevel="0" max="7425" min="7425" style="226" width="10.11"/>
    <col collapsed="false" customWidth="true" hidden="false" outlineLevel="0" max="7434" min="7426" style="226" width="12.67"/>
    <col collapsed="false" customWidth="false" hidden="false" outlineLevel="0" max="7678" min="7435" style="226" width="9.11"/>
    <col collapsed="false" customWidth="true" hidden="false" outlineLevel="0" max="7679" min="7679" style="226" width="2.44"/>
    <col collapsed="false" customWidth="true" hidden="false" outlineLevel="0" max="7680" min="7680" style="226" width="56.88"/>
    <col collapsed="false" customWidth="true" hidden="false" outlineLevel="0" max="7681" min="7681" style="226" width="10.11"/>
    <col collapsed="false" customWidth="true" hidden="false" outlineLevel="0" max="7690" min="7682" style="226" width="12.67"/>
    <col collapsed="false" customWidth="false" hidden="false" outlineLevel="0" max="7934" min="7691" style="226" width="9.11"/>
    <col collapsed="false" customWidth="true" hidden="false" outlineLevel="0" max="7935" min="7935" style="226" width="2.44"/>
    <col collapsed="false" customWidth="true" hidden="false" outlineLevel="0" max="7936" min="7936" style="226" width="56.88"/>
    <col collapsed="false" customWidth="true" hidden="false" outlineLevel="0" max="7937" min="7937" style="226" width="10.11"/>
    <col collapsed="false" customWidth="true" hidden="false" outlineLevel="0" max="7946" min="7938" style="226" width="12.67"/>
    <col collapsed="false" customWidth="false" hidden="false" outlineLevel="0" max="8190" min="7947" style="226" width="9.11"/>
    <col collapsed="false" customWidth="true" hidden="false" outlineLevel="0" max="8191" min="8191" style="226" width="2.44"/>
    <col collapsed="false" customWidth="true" hidden="false" outlineLevel="0" max="8192" min="8192" style="226" width="56.88"/>
    <col collapsed="false" customWidth="true" hidden="false" outlineLevel="0" max="8193" min="8193" style="226" width="10.11"/>
    <col collapsed="false" customWidth="true" hidden="false" outlineLevel="0" max="8202" min="8194" style="226" width="12.67"/>
    <col collapsed="false" customWidth="false" hidden="false" outlineLevel="0" max="8446" min="8203" style="226" width="9.11"/>
    <col collapsed="false" customWidth="true" hidden="false" outlineLevel="0" max="8447" min="8447" style="226" width="2.44"/>
    <col collapsed="false" customWidth="true" hidden="false" outlineLevel="0" max="8448" min="8448" style="226" width="56.88"/>
    <col collapsed="false" customWidth="true" hidden="false" outlineLevel="0" max="8449" min="8449" style="226" width="10.11"/>
    <col collapsed="false" customWidth="true" hidden="false" outlineLevel="0" max="8458" min="8450" style="226" width="12.67"/>
    <col collapsed="false" customWidth="false" hidden="false" outlineLevel="0" max="8702" min="8459" style="226" width="9.11"/>
    <col collapsed="false" customWidth="true" hidden="false" outlineLevel="0" max="8703" min="8703" style="226" width="2.44"/>
    <col collapsed="false" customWidth="true" hidden="false" outlineLevel="0" max="8704" min="8704" style="226" width="56.88"/>
    <col collapsed="false" customWidth="true" hidden="false" outlineLevel="0" max="8705" min="8705" style="226" width="10.11"/>
    <col collapsed="false" customWidth="true" hidden="false" outlineLevel="0" max="8714" min="8706" style="226" width="12.67"/>
    <col collapsed="false" customWidth="false" hidden="false" outlineLevel="0" max="8958" min="8715" style="226" width="9.11"/>
    <col collapsed="false" customWidth="true" hidden="false" outlineLevel="0" max="8959" min="8959" style="226" width="2.44"/>
    <col collapsed="false" customWidth="true" hidden="false" outlineLevel="0" max="8960" min="8960" style="226" width="56.88"/>
    <col collapsed="false" customWidth="true" hidden="false" outlineLevel="0" max="8961" min="8961" style="226" width="10.11"/>
    <col collapsed="false" customWidth="true" hidden="false" outlineLevel="0" max="8970" min="8962" style="226" width="12.67"/>
    <col collapsed="false" customWidth="false" hidden="false" outlineLevel="0" max="9214" min="8971" style="226" width="9.11"/>
    <col collapsed="false" customWidth="true" hidden="false" outlineLevel="0" max="9215" min="9215" style="226" width="2.44"/>
    <col collapsed="false" customWidth="true" hidden="false" outlineLevel="0" max="9216" min="9216" style="226" width="56.88"/>
    <col collapsed="false" customWidth="true" hidden="false" outlineLevel="0" max="9217" min="9217" style="226" width="10.11"/>
    <col collapsed="false" customWidth="true" hidden="false" outlineLevel="0" max="9226" min="9218" style="226" width="12.67"/>
    <col collapsed="false" customWidth="false" hidden="false" outlineLevel="0" max="9470" min="9227" style="226" width="9.11"/>
    <col collapsed="false" customWidth="true" hidden="false" outlineLevel="0" max="9471" min="9471" style="226" width="2.44"/>
    <col collapsed="false" customWidth="true" hidden="false" outlineLevel="0" max="9472" min="9472" style="226" width="56.88"/>
    <col collapsed="false" customWidth="true" hidden="false" outlineLevel="0" max="9473" min="9473" style="226" width="10.11"/>
    <col collapsed="false" customWidth="true" hidden="false" outlineLevel="0" max="9482" min="9474" style="226" width="12.67"/>
    <col collapsed="false" customWidth="false" hidden="false" outlineLevel="0" max="9726" min="9483" style="226" width="9.11"/>
    <col collapsed="false" customWidth="true" hidden="false" outlineLevel="0" max="9727" min="9727" style="226" width="2.44"/>
    <col collapsed="false" customWidth="true" hidden="false" outlineLevel="0" max="9728" min="9728" style="226" width="56.88"/>
    <col collapsed="false" customWidth="true" hidden="false" outlineLevel="0" max="9729" min="9729" style="226" width="10.11"/>
    <col collapsed="false" customWidth="true" hidden="false" outlineLevel="0" max="9738" min="9730" style="226" width="12.67"/>
    <col collapsed="false" customWidth="false" hidden="false" outlineLevel="0" max="9982" min="9739" style="226" width="9.11"/>
    <col collapsed="false" customWidth="true" hidden="false" outlineLevel="0" max="9983" min="9983" style="226" width="2.44"/>
    <col collapsed="false" customWidth="true" hidden="false" outlineLevel="0" max="9984" min="9984" style="226" width="56.88"/>
    <col collapsed="false" customWidth="true" hidden="false" outlineLevel="0" max="9985" min="9985" style="226" width="10.11"/>
    <col collapsed="false" customWidth="true" hidden="false" outlineLevel="0" max="9994" min="9986" style="226" width="12.67"/>
    <col collapsed="false" customWidth="false" hidden="false" outlineLevel="0" max="10238" min="9995" style="226" width="9.11"/>
    <col collapsed="false" customWidth="true" hidden="false" outlineLevel="0" max="10239" min="10239" style="226" width="2.44"/>
    <col collapsed="false" customWidth="true" hidden="false" outlineLevel="0" max="10240" min="10240" style="226" width="56.88"/>
    <col collapsed="false" customWidth="true" hidden="false" outlineLevel="0" max="10241" min="10241" style="226" width="10.11"/>
    <col collapsed="false" customWidth="true" hidden="false" outlineLevel="0" max="10250" min="10242" style="226" width="12.67"/>
    <col collapsed="false" customWidth="false" hidden="false" outlineLevel="0" max="10494" min="10251" style="226" width="9.11"/>
    <col collapsed="false" customWidth="true" hidden="false" outlineLevel="0" max="10495" min="10495" style="226" width="2.44"/>
    <col collapsed="false" customWidth="true" hidden="false" outlineLevel="0" max="10496" min="10496" style="226" width="56.88"/>
    <col collapsed="false" customWidth="true" hidden="false" outlineLevel="0" max="10497" min="10497" style="226" width="10.11"/>
    <col collapsed="false" customWidth="true" hidden="false" outlineLevel="0" max="10506" min="10498" style="226" width="12.67"/>
    <col collapsed="false" customWidth="false" hidden="false" outlineLevel="0" max="10750" min="10507" style="226" width="9.11"/>
    <col collapsed="false" customWidth="true" hidden="false" outlineLevel="0" max="10751" min="10751" style="226" width="2.44"/>
    <col collapsed="false" customWidth="true" hidden="false" outlineLevel="0" max="10752" min="10752" style="226" width="56.88"/>
    <col collapsed="false" customWidth="true" hidden="false" outlineLevel="0" max="10753" min="10753" style="226" width="10.11"/>
    <col collapsed="false" customWidth="true" hidden="false" outlineLevel="0" max="10762" min="10754" style="226" width="12.67"/>
    <col collapsed="false" customWidth="false" hidden="false" outlineLevel="0" max="11006" min="10763" style="226" width="9.11"/>
    <col collapsed="false" customWidth="true" hidden="false" outlineLevel="0" max="11007" min="11007" style="226" width="2.44"/>
    <col collapsed="false" customWidth="true" hidden="false" outlineLevel="0" max="11008" min="11008" style="226" width="56.88"/>
    <col collapsed="false" customWidth="true" hidden="false" outlineLevel="0" max="11009" min="11009" style="226" width="10.11"/>
    <col collapsed="false" customWidth="true" hidden="false" outlineLevel="0" max="11018" min="11010" style="226" width="12.67"/>
    <col collapsed="false" customWidth="false" hidden="false" outlineLevel="0" max="11262" min="11019" style="226" width="9.11"/>
    <col collapsed="false" customWidth="true" hidden="false" outlineLevel="0" max="11263" min="11263" style="226" width="2.44"/>
    <col collapsed="false" customWidth="true" hidden="false" outlineLevel="0" max="11264" min="11264" style="226" width="56.88"/>
    <col collapsed="false" customWidth="true" hidden="false" outlineLevel="0" max="11265" min="11265" style="226" width="10.11"/>
    <col collapsed="false" customWidth="true" hidden="false" outlineLevel="0" max="11274" min="11266" style="226" width="12.67"/>
    <col collapsed="false" customWidth="false" hidden="false" outlineLevel="0" max="11518" min="11275" style="226" width="9.11"/>
    <col collapsed="false" customWidth="true" hidden="false" outlineLevel="0" max="11519" min="11519" style="226" width="2.44"/>
    <col collapsed="false" customWidth="true" hidden="false" outlineLevel="0" max="11520" min="11520" style="226" width="56.88"/>
    <col collapsed="false" customWidth="true" hidden="false" outlineLevel="0" max="11521" min="11521" style="226" width="10.11"/>
    <col collapsed="false" customWidth="true" hidden="false" outlineLevel="0" max="11530" min="11522" style="226" width="12.67"/>
    <col collapsed="false" customWidth="false" hidden="false" outlineLevel="0" max="11774" min="11531" style="226" width="9.11"/>
    <col collapsed="false" customWidth="true" hidden="false" outlineLevel="0" max="11775" min="11775" style="226" width="2.44"/>
    <col collapsed="false" customWidth="true" hidden="false" outlineLevel="0" max="11776" min="11776" style="226" width="56.88"/>
    <col collapsed="false" customWidth="true" hidden="false" outlineLevel="0" max="11777" min="11777" style="226" width="10.11"/>
    <col collapsed="false" customWidth="true" hidden="false" outlineLevel="0" max="11786" min="11778" style="226" width="12.67"/>
    <col collapsed="false" customWidth="false" hidden="false" outlineLevel="0" max="12030" min="11787" style="226" width="9.11"/>
    <col collapsed="false" customWidth="true" hidden="false" outlineLevel="0" max="12031" min="12031" style="226" width="2.44"/>
    <col collapsed="false" customWidth="true" hidden="false" outlineLevel="0" max="12032" min="12032" style="226" width="56.88"/>
    <col collapsed="false" customWidth="true" hidden="false" outlineLevel="0" max="12033" min="12033" style="226" width="10.11"/>
    <col collapsed="false" customWidth="true" hidden="false" outlineLevel="0" max="12042" min="12034" style="226" width="12.67"/>
    <col collapsed="false" customWidth="false" hidden="false" outlineLevel="0" max="12286" min="12043" style="226" width="9.11"/>
    <col collapsed="false" customWidth="true" hidden="false" outlineLevel="0" max="12287" min="12287" style="226" width="2.44"/>
    <col collapsed="false" customWidth="true" hidden="false" outlineLevel="0" max="12288" min="12288" style="226" width="56.88"/>
    <col collapsed="false" customWidth="true" hidden="false" outlineLevel="0" max="12289" min="12289" style="226" width="10.11"/>
    <col collapsed="false" customWidth="true" hidden="false" outlineLevel="0" max="12298" min="12290" style="226" width="12.67"/>
    <col collapsed="false" customWidth="false" hidden="false" outlineLevel="0" max="12542" min="12299" style="226" width="9.11"/>
    <col collapsed="false" customWidth="true" hidden="false" outlineLevel="0" max="12543" min="12543" style="226" width="2.44"/>
    <col collapsed="false" customWidth="true" hidden="false" outlineLevel="0" max="12544" min="12544" style="226" width="56.88"/>
    <col collapsed="false" customWidth="true" hidden="false" outlineLevel="0" max="12545" min="12545" style="226" width="10.11"/>
    <col collapsed="false" customWidth="true" hidden="false" outlineLevel="0" max="12554" min="12546" style="226" width="12.67"/>
    <col collapsed="false" customWidth="false" hidden="false" outlineLevel="0" max="12798" min="12555" style="226" width="9.11"/>
    <col collapsed="false" customWidth="true" hidden="false" outlineLevel="0" max="12799" min="12799" style="226" width="2.44"/>
    <col collapsed="false" customWidth="true" hidden="false" outlineLevel="0" max="12800" min="12800" style="226" width="56.88"/>
    <col collapsed="false" customWidth="true" hidden="false" outlineLevel="0" max="12801" min="12801" style="226" width="10.11"/>
    <col collapsed="false" customWidth="true" hidden="false" outlineLevel="0" max="12810" min="12802" style="226" width="12.67"/>
    <col collapsed="false" customWidth="false" hidden="false" outlineLevel="0" max="13054" min="12811" style="226" width="9.11"/>
    <col collapsed="false" customWidth="true" hidden="false" outlineLevel="0" max="13055" min="13055" style="226" width="2.44"/>
    <col collapsed="false" customWidth="true" hidden="false" outlineLevel="0" max="13056" min="13056" style="226" width="56.88"/>
    <col collapsed="false" customWidth="true" hidden="false" outlineLevel="0" max="13057" min="13057" style="226" width="10.11"/>
    <col collapsed="false" customWidth="true" hidden="false" outlineLevel="0" max="13066" min="13058" style="226" width="12.67"/>
    <col collapsed="false" customWidth="false" hidden="false" outlineLevel="0" max="13310" min="13067" style="226" width="9.11"/>
    <col collapsed="false" customWidth="true" hidden="false" outlineLevel="0" max="13311" min="13311" style="226" width="2.44"/>
    <col collapsed="false" customWidth="true" hidden="false" outlineLevel="0" max="13312" min="13312" style="226" width="56.88"/>
    <col collapsed="false" customWidth="true" hidden="false" outlineLevel="0" max="13313" min="13313" style="226" width="10.11"/>
    <col collapsed="false" customWidth="true" hidden="false" outlineLevel="0" max="13322" min="13314" style="226" width="12.67"/>
    <col collapsed="false" customWidth="false" hidden="false" outlineLevel="0" max="13566" min="13323" style="226" width="9.11"/>
    <col collapsed="false" customWidth="true" hidden="false" outlineLevel="0" max="13567" min="13567" style="226" width="2.44"/>
    <col collapsed="false" customWidth="true" hidden="false" outlineLevel="0" max="13568" min="13568" style="226" width="56.88"/>
    <col collapsed="false" customWidth="true" hidden="false" outlineLevel="0" max="13569" min="13569" style="226" width="10.11"/>
    <col collapsed="false" customWidth="true" hidden="false" outlineLevel="0" max="13578" min="13570" style="226" width="12.67"/>
    <col collapsed="false" customWidth="false" hidden="false" outlineLevel="0" max="13822" min="13579" style="226" width="9.11"/>
    <col collapsed="false" customWidth="true" hidden="false" outlineLevel="0" max="13823" min="13823" style="226" width="2.44"/>
    <col collapsed="false" customWidth="true" hidden="false" outlineLevel="0" max="13824" min="13824" style="226" width="56.88"/>
    <col collapsed="false" customWidth="true" hidden="false" outlineLevel="0" max="13825" min="13825" style="226" width="10.11"/>
    <col collapsed="false" customWidth="true" hidden="false" outlineLevel="0" max="13834" min="13826" style="226" width="12.67"/>
    <col collapsed="false" customWidth="false" hidden="false" outlineLevel="0" max="14078" min="13835" style="226" width="9.11"/>
    <col collapsed="false" customWidth="true" hidden="false" outlineLevel="0" max="14079" min="14079" style="226" width="2.44"/>
    <col collapsed="false" customWidth="true" hidden="false" outlineLevel="0" max="14080" min="14080" style="226" width="56.88"/>
    <col collapsed="false" customWidth="true" hidden="false" outlineLevel="0" max="14081" min="14081" style="226" width="10.11"/>
    <col collapsed="false" customWidth="true" hidden="false" outlineLevel="0" max="14090" min="14082" style="226" width="12.67"/>
    <col collapsed="false" customWidth="false" hidden="false" outlineLevel="0" max="14334" min="14091" style="226" width="9.11"/>
    <col collapsed="false" customWidth="true" hidden="false" outlineLevel="0" max="14335" min="14335" style="226" width="2.44"/>
    <col collapsed="false" customWidth="true" hidden="false" outlineLevel="0" max="14336" min="14336" style="226" width="56.88"/>
    <col collapsed="false" customWidth="true" hidden="false" outlineLevel="0" max="14337" min="14337" style="226" width="10.11"/>
    <col collapsed="false" customWidth="true" hidden="false" outlineLevel="0" max="14346" min="14338" style="226" width="12.67"/>
    <col collapsed="false" customWidth="false" hidden="false" outlineLevel="0" max="14590" min="14347" style="226" width="9.11"/>
    <col collapsed="false" customWidth="true" hidden="false" outlineLevel="0" max="14591" min="14591" style="226" width="2.44"/>
    <col collapsed="false" customWidth="true" hidden="false" outlineLevel="0" max="14592" min="14592" style="226" width="56.88"/>
    <col collapsed="false" customWidth="true" hidden="false" outlineLevel="0" max="14593" min="14593" style="226" width="10.11"/>
    <col collapsed="false" customWidth="true" hidden="false" outlineLevel="0" max="14602" min="14594" style="226" width="12.67"/>
    <col collapsed="false" customWidth="false" hidden="false" outlineLevel="0" max="14846" min="14603" style="226" width="9.11"/>
    <col collapsed="false" customWidth="true" hidden="false" outlineLevel="0" max="14847" min="14847" style="226" width="2.44"/>
    <col collapsed="false" customWidth="true" hidden="false" outlineLevel="0" max="14848" min="14848" style="226" width="56.88"/>
    <col collapsed="false" customWidth="true" hidden="false" outlineLevel="0" max="14849" min="14849" style="226" width="10.11"/>
    <col collapsed="false" customWidth="true" hidden="false" outlineLevel="0" max="14858" min="14850" style="226" width="12.67"/>
    <col collapsed="false" customWidth="false" hidden="false" outlineLevel="0" max="15102" min="14859" style="226" width="9.11"/>
    <col collapsed="false" customWidth="true" hidden="false" outlineLevel="0" max="15103" min="15103" style="226" width="2.44"/>
    <col collapsed="false" customWidth="true" hidden="false" outlineLevel="0" max="15104" min="15104" style="226" width="56.88"/>
    <col collapsed="false" customWidth="true" hidden="false" outlineLevel="0" max="15105" min="15105" style="226" width="10.11"/>
    <col collapsed="false" customWidth="true" hidden="false" outlineLevel="0" max="15114" min="15106" style="226" width="12.67"/>
    <col collapsed="false" customWidth="false" hidden="false" outlineLevel="0" max="15358" min="15115" style="226" width="9.11"/>
    <col collapsed="false" customWidth="true" hidden="false" outlineLevel="0" max="15359" min="15359" style="226" width="2.44"/>
    <col collapsed="false" customWidth="true" hidden="false" outlineLevel="0" max="15360" min="15360" style="226" width="56.88"/>
    <col collapsed="false" customWidth="true" hidden="false" outlineLevel="0" max="15361" min="15361" style="226" width="10.11"/>
    <col collapsed="false" customWidth="true" hidden="false" outlineLevel="0" max="15370" min="15362" style="226" width="12.67"/>
    <col collapsed="false" customWidth="false" hidden="false" outlineLevel="0" max="15614" min="15371" style="226" width="9.11"/>
    <col collapsed="false" customWidth="true" hidden="false" outlineLevel="0" max="15615" min="15615" style="226" width="2.44"/>
    <col collapsed="false" customWidth="true" hidden="false" outlineLevel="0" max="15616" min="15616" style="226" width="56.88"/>
    <col collapsed="false" customWidth="true" hidden="false" outlineLevel="0" max="15617" min="15617" style="226" width="10.11"/>
    <col collapsed="false" customWidth="true" hidden="false" outlineLevel="0" max="15626" min="15618" style="226" width="12.67"/>
    <col collapsed="false" customWidth="false" hidden="false" outlineLevel="0" max="15870" min="15627" style="226" width="9.11"/>
    <col collapsed="false" customWidth="true" hidden="false" outlineLevel="0" max="15871" min="15871" style="226" width="2.44"/>
    <col collapsed="false" customWidth="true" hidden="false" outlineLevel="0" max="15872" min="15872" style="226" width="56.88"/>
    <col collapsed="false" customWidth="true" hidden="false" outlineLevel="0" max="15873" min="15873" style="226" width="10.11"/>
    <col collapsed="false" customWidth="true" hidden="false" outlineLevel="0" max="15882" min="15874" style="226" width="12.67"/>
    <col collapsed="false" customWidth="false" hidden="false" outlineLevel="0" max="16126" min="15883" style="226" width="9.11"/>
    <col collapsed="false" customWidth="true" hidden="false" outlineLevel="0" max="16127" min="16127" style="226" width="2.44"/>
    <col collapsed="false" customWidth="true" hidden="false" outlineLevel="0" max="16128" min="16128" style="226" width="56.88"/>
    <col collapsed="false" customWidth="true" hidden="false" outlineLevel="0" max="16129" min="16129" style="226" width="10.11"/>
    <col collapsed="false" customWidth="true" hidden="false" outlineLevel="0" max="16138" min="16130" style="226" width="12.67"/>
    <col collapsed="false" customWidth="false" hidden="false" outlineLevel="0" max="16384" min="16139" style="226" width="9.11"/>
  </cols>
  <sheetData>
    <row r="1" customFormat="false" ht="21.75" hidden="false" customHeight="true" outlineLevel="0" collapsed="false">
      <c r="A1" s="227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2"/>
      <c r="B2" s="228" t="s">
        <v>2</v>
      </c>
      <c r="C2" s="5"/>
      <c r="D2" s="5"/>
      <c r="E2" s="5"/>
      <c r="F2" s="5"/>
      <c r="G2" s="5"/>
      <c r="H2" s="5"/>
      <c r="I2" s="5"/>
      <c r="J2" s="5"/>
      <c r="K2" s="2"/>
    </row>
    <row r="3" customFormat="false" ht="13.5" hidden="false" customHeight="true" outlineLevel="0" collapsed="false">
      <c r="A3" s="2"/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  <c r="K3" s="2"/>
    </row>
    <row r="4" customFormat="false" ht="13.5" hidden="false" customHeight="true" outlineLevel="0" collapsed="false">
      <c r="A4" s="2"/>
      <c r="B4" s="229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  <c r="K4" s="2"/>
    </row>
    <row r="5" customFormat="false" ht="13.5" hidden="false" customHeight="true" outlineLevel="0" collapsed="false">
      <c r="A5" s="1"/>
      <c r="B5" s="230" t="s">
        <v>15</v>
      </c>
      <c r="C5" s="2"/>
      <c r="D5" s="2"/>
      <c r="E5" s="20"/>
      <c r="F5" s="2"/>
      <c r="G5" s="2"/>
      <c r="H5" s="2"/>
      <c r="I5" s="2"/>
      <c r="J5" s="2"/>
      <c r="K5" s="2"/>
    </row>
    <row r="6" customFormat="false" ht="13.5" hidden="false" customHeight="true" outlineLevel="0" collapsed="false">
      <c r="A6" s="1"/>
      <c r="B6" s="29" t="s">
        <v>17</v>
      </c>
      <c r="C6" s="25"/>
      <c r="D6" s="178" t="n">
        <v>754.108342297617</v>
      </c>
      <c r="E6" s="178" t="n">
        <v>740.304924847987</v>
      </c>
      <c r="F6" s="28" t="n">
        <f aca="false">'Income Statement'!F21</f>
        <v>695.995872061528</v>
      </c>
      <c r="G6" s="28" t="n">
        <f aca="false">'Income Statement'!G21</f>
        <v>829.820639654179</v>
      </c>
      <c r="H6" s="28" t="n">
        <f aca="false">'Income Statement'!H21</f>
        <v>988.818883040874</v>
      </c>
      <c r="I6" s="28" t="n">
        <f aca="false">'Income Statement'!I21</f>
        <v>1173.33149775202</v>
      </c>
      <c r="J6" s="28" t="n">
        <f aca="false">'Income Statement'!J21</f>
        <v>1387.8811966404</v>
      </c>
      <c r="K6" s="2"/>
    </row>
    <row r="7" customFormat="false" ht="13.5" hidden="false" customHeight="true" outlineLevel="0" collapsed="false">
      <c r="A7" s="1"/>
      <c r="B7" s="29" t="s">
        <v>111</v>
      </c>
      <c r="C7" s="25"/>
      <c r="D7" s="178" t="n">
        <v>123.1</v>
      </c>
      <c r="E7" s="178" t="n">
        <v>140</v>
      </c>
      <c r="F7" s="28" t="n">
        <f aca="false">'Income Statement'!F12</f>
        <v>151.533134974646</v>
      </c>
      <c r="G7" s="28" t="n">
        <f aca="false">'Income Statement'!G12</f>
        <v>179.555137096012</v>
      </c>
      <c r="H7" s="28" t="n">
        <f aca="false">'Income Statement'!H12</f>
        <v>212.238587880868</v>
      </c>
      <c r="I7" s="28" t="n">
        <f aca="false">'Income Statement'!I12</f>
        <v>250.370730096443</v>
      </c>
      <c r="J7" s="28" t="n">
        <f aca="false">'Income Statement'!J12</f>
        <v>294.873162372172</v>
      </c>
      <c r="K7" s="2"/>
    </row>
    <row r="8" customFormat="false" ht="13.5" hidden="false" customHeight="true" outlineLevel="0" collapsed="false">
      <c r="A8" s="1"/>
      <c r="B8" s="29" t="s">
        <v>112</v>
      </c>
      <c r="C8" s="25"/>
      <c r="D8" s="178" t="n">
        <v>10.666</v>
      </c>
      <c r="E8" s="178" t="n">
        <v>13.035</v>
      </c>
      <c r="F8" s="28" t="n">
        <f aca="false">'Income Statement'!F13</f>
        <v>13.2959727965229</v>
      </c>
      <c r="G8" s="28" t="n">
        <f aca="false">'Income Statement'!G13</f>
        <v>17.1389902303102</v>
      </c>
      <c r="H8" s="28" t="n">
        <f aca="false">'Income Statement'!H13</f>
        <v>21.6212920522334</v>
      </c>
      <c r="I8" s="28" t="n">
        <f aca="false">'Income Statement'!I13</f>
        <v>26.8508429846551</v>
      </c>
      <c r="J8" s="28" t="n">
        <f aca="false">'Income Statement'!J13</f>
        <v>32.954033696755</v>
      </c>
      <c r="K8" s="2"/>
    </row>
    <row r="9" customFormat="false" ht="13.5" hidden="false" customHeight="true" outlineLevel="0" collapsed="false">
      <c r="A9" s="1"/>
      <c r="B9" s="65" t="s">
        <v>22</v>
      </c>
      <c r="C9" s="25"/>
      <c r="D9" s="231"/>
      <c r="E9" s="232"/>
      <c r="F9" s="233"/>
      <c r="G9" s="233"/>
      <c r="H9" s="233"/>
      <c r="I9" s="233"/>
      <c r="J9" s="233"/>
      <c r="K9" s="2"/>
    </row>
    <row r="10" customFormat="false" ht="13.5" hidden="false" customHeight="true" outlineLevel="0" collapsed="false">
      <c r="A10" s="1"/>
      <c r="B10" s="234" t="s">
        <v>113</v>
      </c>
      <c r="C10" s="25"/>
      <c r="D10" s="178" t="n">
        <v>-10.8</v>
      </c>
      <c r="E10" s="178" t="n">
        <v>0.699999999999989</v>
      </c>
      <c r="F10" s="235" t="n">
        <f aca="false">'Working Capital Forecast'!F35</f>
        <v>-1.07827895192111</v>
      </c>
      <c r="G10" s="28" t="n">
        <f aca="false">'Working Capital Forecast'!G35</f>
        <v>-78.6845026202262</v>
      </c>
      <c r="H10" s="28" t="n">
        <f aca="false">'Working Capital Forecast'!H35</f>
        <v>-91.9518640469388</v>
      </c>
      <c r="I10" s="28" t="n">
        <f aca="false">'Working Capital Forecast'!I35</f>
        <v>-107.481036441571</v>
      </c>
      <c r="J10" s="28" t="n">
        <f aca="false">'Working Capital Forecast'!J35</f>
        <v>-125.660516255082</v>
      </c>
      <c r="K10" s="2"/>
    </row>
    <row r="11" customFormat="false" ht="13.5" hidden="false" customHeight="true" outlineLevel="0" collapsed="false">
      <c r="A11" s="1"/>
      <c r="B11" s="234" t="s">
        <v>114</v>
      </c>
      <c r="C11" s="25"/>
      <c r="D11" s="178" t="n">
        <v>-23.2</v>
      </c>
      <c r="E11" s="178" t="n">
        <v>-33.6</v>
      </c>
      <c r="F11" s="235" t="n">
        <f aca="false">'Working Capital Forecast'!F36</f>
        <v>-27.5278843429983</v>
      </c>
      <c r="G11" s="28" t="n">
        <f aca="false">'Working Capital Forecast'!G36</f>
        <v>-68.115600056503</v>
      </c>
      <c r="H11" s="28" t="n">
        <f aca="false">'Working Capital Forecast'!H36</f>
        <v>-79.5878585271307</v>
      </c>
      <c r="I11" s="28" t="n">
        <f aca="false">'Working Capital Forecast'!I36</f>
        <v>-93.0152985376452</v>
      </c>
      <c r="J11" s="28" t="n">
        <f aca="false">'Working Capital Forecast'!J36</f>
        <v>-108.733841052065</v>
      </c>
      <c r="K11" s="2"/>
    </row>
    <row r="12" customFormat="false" ht="13.5" hidden="false" customHeight="true" outlineLevel="0" collapsed="false">
      <c r="A12" s="1"/>
      <c r="B12" s="234" t="s">
        <v>115</v>
      </c>
      <c r="C12" s="25"/>
      <c r="D12" s="178" t="n">
        <v>4.60000000000001</v>
      </c>
      <c r="E12" s="178" t="n">
        <v>-0.700000000000003</v>
      </c>
      <c r="F12" s="235" t="n">
        <f aca="false">'Working Capital Forecast'!F37</f>
        <v>1.10068008692801</v>
      </c>
      <c r="G12" s="28" t="n">
        <f aca="false">'Working Capital Forecast'!G37</f>
        <v>-13.6761159316108</v>
      </c>
      <c r="H12" s="28" t="n">
        <f aca="false">'Working Capital Forecast'!H37</f>
        <v>-15.9821097033965</v>
      </c>
      <c r="I12" s="28" t="n">
        <f aca="false">'Working Capital Forecast'!I37</f>
        <v>-18.6812277624636</v>
      </c>
      <c r="J12" s="28" t="n">
        <f aca="false">'Working Capital Forecast'!J37</f>
        <v>-21.8409944919547</v>
      </c>
      <c r="K12" s="2"/>
    </row>
    <row r="13" customFormat="false" ht="13.5" hidden="false" customHeight="true" outlineLevel="0" collapsed="false">
      <c r="A13" s="1"/>
      <c r="B13" s="234" t="s">
        <v>116</v>
      </c>
      <c r="C13" s="25"/>
      <c r="D13" s="178" t="n">
        <v>15</v>
      </c>
      <c r="E13" s="178" t="n">
        <v>57.7</v>
      </c>
      <c r="F13" s="235" t="n">
        <f aca="false">'Working Capital Forecast'!F38</f>
        <v>29.3959132572487</v>
      </c>
      <c r="G13" s="28" t="n">
        <f aca="false">'Working Capital Forecast'!G38</f>
        <v>51.0867000423772</v>
      </c>
      <c r="H13" s="28" t="n">
        <f aca="false">'Working Capital Forecast'!H38</f>
        <v>59.690893895348</v>
      </c>
      <c r="I13" s="28" t="n">
        <f aca="false">'Working Capital Forecast'!I38</f>
        <v>69.7614739032339</v>
      </c>
      <c r="J13" s="28" t="n">
        <f aca="false">'Working Capital Forecast'!J38</f>
        <v>81.550380789049</v>
      </c>
      <c r="K13" s="2"/>
    </row>
    <row r="14" customFormat="false" ht="13.5" hidden="false" customHeight="true" outlineLevel="0" collapsed="false">
      <c r="A14" s="1"/>
      <c r="B14" s="234" t="s">
        <v>117</v>
      </c>
      <c r="C14" s="25"/>
      <c r="D14" s="178" t="n">
        <v>-19.4</v>
      </c>
      <c r="E14" s="178" t="n">
        <v>15.4</v>
      </c>
      <c r="F14" s="235" t="n">
        <f aca="false">'Working Capital Forecast'!F39</f>
        <v>23.4795703802592</v>
      </c>
      <c r="G14" s="28" t="n">
        <f aca="false">'Working Capital Forecast'!G39</f>
        <v>33.1495920274981</v>
      </c>
      <c r="H14" s="28" t="n">
        <f aca="false">'Working Capital Forecast'!H39</f>
        <v>38.7327578165369</v>
      </c>
      <c r="I14" s="28" t="n">
        <f aca="false">'Working Capital Forecast'!I39</f>
        <v>45.2674452883206</v>
      </c>
      <c r="J14" s="28" t="n">
        <f aca="false">'Working Capital Forecast'!J39</f>
        <v>52.9171359786719</v>
      </c>
      <c r="K14" s="2"/>
    </row>
    <row r="15" customFormat="false" ht="13.5" hidden="false" customHeight="true" outlineLevel="0" collapsed="false">
      <c r="A15" s="1"/>
      <c r="B15" s="234" t="s">
        <v>118</v>
      </c>
      <c r="C15" s="25"/>
      <c r="D15" s="178" t="n">
        <v>-5.5</v>
      </c>
      <c r="E15" s="178" t="n">
        <v>19</v>
      </c>
      <c r="F15" s="235" t="n">
        <f aca="false">'Working Capital Forecast'!F40</f>
        <v>5.7785620413634</v>
      </c>
      <c r="G15" s="28" t="n">
        <f aca="false">'Working Capital Forecast'!G40</f>
        <v>14.5029465120304</v>
      </c>
      <c r="H15" s="28" t="n">
        <f aca="false">'Working Capital Forecast'!H40</f>
        <v>16.9455815447349</v>
      </c>
      <c r="I15" s="28" t="n">
        <f aca="false">'Working Capital Forecast'!I40</f>
        <v>19.8045073136403</v>
      </c>
      <c r="J15" s="28" t="n">
        <f aca="false">'Working Capital Forecast'!J40</f>
        <v>23.1512469906689</v>
      </c>
      <c r="K15" s="2"/>
    </row>
    <row r="16" customFormat="false" ht="13.5" hidden="false" customHeight="true" outlineLevel="0" collapsed="false">
      <c r="A16" s="1"/>
      <c r="B16" s="2" t="s">
        <v>24</v>
      </c>
      <c r="C16" s="25"/>
      <c r="D16" s="178" t="n">
        <v>-14</v>
      </c>
      <c r="E16" s="178" t="n">
        <v>36</v>
      </c>
      <c r="F16" s="235" t="n">
        <f aca="false">('Balance Sheet'!F40-'Balance Sheet'!E40)+('Balance Sheet'!F41-'Balance Sheet'!E41)</f>
        <v>0</v>
      </c>
      <c r="G16" s="28" t="n">
        <f aca="false">('Balance Sheet'!G40-'Balance Sheet'!F40)+('Balance Sheet'!G41-'Balance Sheet'!F41)</f>
        <v>0</v>
      </c>
      <c r="H16" s="28" t="n">
        <f aca="false">('Balance Sheet'!H40-'Balance Sheet'!G40)+('Balance Sheet'!H41-'Balance Sheet'!G41)</f>
        <v>0</v>
      </c>
      <c r="I16" s="28" t="n">
        <f aca="false">('Balance Sheet'!I40-'Balance Sheet'!H40)+('Balance Sheet'!I41-'Balance Sheet'!H41)</f>
        <v>0</v>
      </c>
      <c r="J16" s="28" t="n">
        <f aca="false">('Balance Sheet'!J40-'Balance Sheet'!I40)+('Balance Sheet'!J41-'Balance Sheet'!I41)</f>
        <v>0</v>
      </c>
      <c r="K16" s="2"/>
    </row>
    <row r="17" customFormat="false" ht="13.5" hidden="false" customHeight="true" outlineLevel="0" collapsed="false">
      <c r="A17" s="1"/>
      <c r="B17" s="38" t="s">
        <v>25</v>
      </c>
      <c r="C17" s="39"/>
      <c r="D17" s="236" t="n">
        <f aca="false">SUM(D6:D16)</f>
        <v>834.574342297617</v>
      </c>
      <c r="E17" s="237" t="n">
        <f aca="false">SUM(E6:E16)</f>
        <v>987.839924847987</v>
      </c>
      <c r="F17" s="238" t="n">
        <f aca="false">SUM(F6:F16)</f>
        <v>891.973542303577</v>
      </c>
      <c r="G17" s="238" t="n">
        <f aca="false">SUM(G6:G16)</f>
        <v>964.777786954067</v>
      </c>
      <c r="H17" s="238" t="n">
        <f aca="false">SUM(H6:H16)</f>
        <v>1150.52616395313</v>
      </c>
      <c r="I17" s="238" t="n">
        <f aca="false">SUM(I6:I16)</f>
        <v>1366.20893459663</v>
      </c>
      <c r="J17" s="238" t="n">
        <f aca="false">SUM(J6:J16)</f>
        <v>1617.09180466862</v>
      </c>
      <c r="K17" s="2"/>
    </row>
    <row r="18" customFormat="false" ht="13.5" hidden="false" customHeight="true" outlineLevel="0" collapsed="false">
      <c r="A18" s="1"/>
      <c r="B18" s="2"/>
      <c r="C18" s="25"/>
      <c r="D18" s="37"/>
      <c r="E18" s="239"/>
      <c r="F18" s="37"/>
      <c r="G18" s="37"/>
      <c r="H18" s="37"/>
      <c r="I18" s="37"/>
      <c r="J18" s="37"/>
      <c r="K18" s="2"/>
    </row>
    <row r="19" customFormat="false" ht="13.5" hidden="false" customHeight="true" outlineLevel="0" collapsed="false">
      <c r="A19" s="1"/>
      <c r="B19" s="230" t="s">
        <v>26</v>
      </c>
      <c r="C19" s="25"/>
      <c r="D19" s="37"/>
      <c r="E19" s="239"/>
      <c r="F19" s="37"/>
      <c r="G19" s="37"/>
      <c r="H19" s="37"/>
      <c r="I19" s="37"/>
      <c r="J19" s="37"/>
      <c r="K19" s="2"/>
    </row>
    <row r="20" customFormat="false" ht="13.5" hidden="false" customHeight="true" outlineLevel="0" collapsed="false">
      <c r="A20" s="1"/>
      <c r="B20" s="85" t="s">
        <v>28</v>
      </c>
      <c r="C20" s="25"/>
      <c r="D20" s="178" t="n">
        <v>-10</v>
      </c>
      <c r="E20" s="178" t="n">
        <v>-10</v>
      </c>
      <c r="F20" s="47" t="n">
        <f aca="false">-('Balance Sheet'!F8-'Balance Sheet'!E8)</f>
        <v>-10</v>
      </c>
      <c r="G20" s="47" t="n">
        <f aca="false">-('Balance Sheet'!G8-'Balance Sheet'!F8)</f>
        <v>-10</v>
      </c>
      <c r="H20" s="47" t="n">
        <f aca="false">-('Balance Sheet'!H8-'Balance Sheet'!G8)</f>
        <v>-10</v>
      </c>
      <c r="I20" s="47" t="n">
        <f aca="false">-('Balance Sheet'!I8-'Balance Sheet'!H8)</f>
        <v>-10</v>
      </c>
      <c r="J20" s="47" t="n">
        <f aca="false">-('Balance Sheet'!J8-'Balance Sheet'!I8)</f>
        <v>-10</v>
      </c>
      <c r="K20" s="2"/>
    </row>
    <row r="21" customFormat="false" ht="13.5" hidden="false" customHeight="true" outlineLevel="0" collapsed="false">
      <c r="A21" s="1"/>
      <c r="B21" s="85" t="s">
        <v>29</v>
      </c>
      <c r="C21" s="25"/>
      <c r="D21" s="178" t="n">
        <v>-20</v>
      </c>
      <c r="E21" s="178" t="n">
        <v>-20</v>
      </c>
      <c r="F21" s="47" t="n">
        <f aca="false">-('Balance Sheet'!F14-'Balance Sheet'!E14)</f>
        <v>-20</v>
      </c>
      <c r="G21" s="47" t="n">
        <f aca="false">-('Balance Sheet'!G14-'Balance Sheet'!F14)</f>
        <v>-20</v>
      </c>
      <c r="H21" s="47" t="n">
        <f aca="false">-('Balance Sheet'!H14-'Balance Sheet'!G14)</f>
        <v>-20</v>
      </c>
      <c r="I21" s="47" t="n">
        <f aca="false">-('Balance Sheet'!I14-'Balance Sheet'!H14)</f>
        <v>-20</v>
      </c>
      <c r="J21" s="47" t="n">
        <f aca="false">-('Balance Sheet'!J14-'Balance Sheet'!I14)</f>
        <v>-20</v>
      </c>
      <c r="K21" s="2"/>
    </row>
    <row r="22" customFormat="false" ht="13.5" hidden="false" customHeight="true" outlineLevel="0" collapsed="false">
      <c r="A22" s="1"/>
      <c r="B22" s="29" t="s">
        <v>31</v>
      </c>
      <c r="C22" s="25"/>
      <c r="D22" s="178" t="n">
        <v>-145</v>
      </c>
      <c r="E22" s="178" t="n">
        <v>-250</v>
      </c>
      <c r="F22" s="235" t="n">
        <f aca="false">-'Depreciation Capex Forecast'!F18</f>
        <v>-288.397619695752</v>
      </c>
      <c r="G22" s="28" t="n">
        <f aca="false">-'Depreciation Capex Forecast'!G18</f>
        <v>-336.26402545639</v>
      </c>
      <c r="H22" s="28" t="n">
        <f aca="false">-'Depreciation Capex Forecast'!H18</f>
        <v>-392.201409418277</v>
      </c>
      <c r="I22" s="28" t="n">
        <f aca="false">-'Depreciation Capex Forecast'!I18</f>
        <v>-457.5857065869</v>
      </c>
      <c r="J22" s="28" t="n">
        <f aca="false">-'Depreciation Capex Forecast'!J18</f>
        <v>-534.029187308741</v>
      </c>
      <c r="K22" s="2"/>
    </row>
    <row r="23" customFormat="false" ht="13.5" hidden="false" customHeight="true" outlineLevel="0" collapsed="false">
      <c r="A23" s="1"/>
      <c r="B23" s="29" t="s">
        <v>33</v>
      </c>
      <c r="C23" s="25"/>
      <c r="D23" s="178" t="n">
        <v>-26.466</v>
      </c>
      <c r="E23" s="178" t="n">
        <v>-30.735</v>
      </c>
      <c r="F23" s="235" t="n">
        <f aca="false">-'Amortization Forecast'!F7</f>
        <v>-32.9597279652288</v>
      </c>
      <c r="G23" s="28" t="n">
        <f aca="false">-'Amortization Forecast'!G7</f>
        <v>-38.4301743378731</v>
      </c>
      <c r="H23" s="28" t="n">
        <f aca="false">-'Amortization Forecast'!H7</f>
        <v>-44.8230182192317</v>
      </c>
      <c r="I23" s="28" t="n">
        <f aca="false">-'Amortization Forecast'!I7</f>
        <v>-52.2955093242171</v>
      </c>
      <c r="J23" s="28" t="n">
        <f aca="false">-'Amortization Forecast'!J7</f>
        <v>-61.031907120999</v>
      </c>
      <c r="K23" s="2"/>
    </row>
    <row r="24" customFormat="false" ht="13.5" hidden="false" customHeight="true" outlineLevel="0" collapsed="false">
      <c r="A24" s="1"/>
      <c r="B24" s="50" t="s">
        <v>35</v>
      </c>
      <c r="C24" s="39"/>
      <c r="D24" s="236" t="n">
        <f aca="false">SUM(D20:D23)</f>
        <v>-201.466</v>
      </c>
      <c r="E24" s="237" t="n">
        <f aca="false">SUM(E20:E23)</f>
        <v>-310.735</v>
      </c>
      <c r="F24" s="240" t="n">
        <f aca="false">SUM(F20:F23)</f>
        <v>-351.357347660981</v>
      </c>
      <c r="G24" s="240" t="n">
        <f aca="false">SUM(G20:G23)</f>
        <v>-404.694199794263</v>
      </c>
      <c r="H24" s="240" t="n">
        <f aca="false">SUM(H20:H23)</f>
        <v>-467.024427637509</v>
      </c>
      <c r="I24" s="240" t="n">
        <f aca="false">SUM(I20:I23)</f>
        <v>-539.881215911117</v>
      </c>
      <c r="J24" s="240" t="n">
        <f aca="false">SUM(J20:J23)</f>
        <v>-625.06109442974</v>
      </c>
      <c r="K24" s="2"/>
    </row>
    <row r="25" customFormat="false" ht="13.5" hidden="false" customHeight="true" outlineLevel="0" collapsed="false">
      <c r="A25" s="1"/>
      <c r="B25" s="2"/>
      <c r="C25" s="25"/>
      <c r="D25" s="37"/>
      <c r="E25" s="239"/>
      <c r="F25" s="37"/>
      <c r="G25" s="37"/>
      <c r="H25" s="37"/>
      <c r="I25" s="37"/>
      <c r="J25" s="37"/>
      <c r="K25" s="2"/>
    </row>
    <row r="26" customFormat="false" ht="13.5" hidden="false" customHeight="true" outlineLevel="0" collapsed="false">
      <c r="A26" s="1"/>
      <c r="B26" s="230" t="s">
        <v>37</v>
      </c>
      <c r="C26" s="25"/>
      <c r="D26" s="37"/>
      <c r="E26" s="239"/>
      <c r="F26" s="37"/>
      <c r="G26" s="37"/>
      <c r="H26" s="37"/>
      <c r="I26" s="37"/>
      <c r="J26" s="37"/>
      <c r="K26" s="2"/>
    </row>
    <row r="27" customFormat="false" ht="13.5" hidden="false" customHeight="true" outlineLevel="0" collapsed="false">
      <c r="A27" s="1"/>
      <c r="B27" s="29" t="s">
        <v>38</v>
      </c>
      <c r="C27" s="25"/>
      <c r="D27" s="178" t="n">
        <v>-100</v>
      </c>
      <c r="E27" s="178" t="n">
        <v>-49</v>
      </c>
      <c r="F27" s="28" t="n">
        <f aca="false">'Debt Forecast'!F27</f>
        <v>49.4692998302584</v>
      </c>
      <c r="G27" s="28" t="n">
        <f aca="false">'Debt Forecast'!G27</f>
        <v>-42.4583353864302</v>
      </c>
      <c r="H27" s="28" t="n">
        <f aca="false">'Debt Forecast'!H27</f>
        <v>-66.0041544332852</v>
      </c>
      <c r="I27" s="28" t="n">
        <f aca="false">'Debt Forecast'!I27</f>
        <v>-0</v>
      </c>
      <c r="J27" s="28" t="n">
        <f aca="false">'Debt Forecast'!J27</f>
        <v>-0</v>
      </c>
      <c r="K27" s="2"/>
    </row>
    <row r="28" customFormat="false" ht="13.5" hidden="false" customHeight="true" outlineLevel="0" collapsed="false">
      <c r="A28" s="1"/>
      <c r="B28" s="29" t="s">
        <v>39</v>
      </c>
      <c r="C28" s="25"/>
      <c r="D28" s="178" t="n">
        <v>0</v>
      </c>
      <c r="E28" s="178" t="n">
        <v>0</v>
      </c>
      <c r="F28" s="28" t="n">
        <v>0</v>
      </c>
      <c r="G28" s="28" t="n">
        <v>0</v>
      </c>
      <c r="H28" s="28" t="n">
        <v>0</v>
      </c>
      <c r="I28" s="28" t="n">
        <v>0</v>
      </c>
      <c r="J28" s="28" t="n">
        <v>0</v>
      </c>
      <c r="K28" s="2"/>
    </row>
    <row r="29" customFormat="false" ht="13.5" hidden="false" customHeight="true" outlineLevel="0" collapsed="false">
      <c r="A29" s="1"/>
      <c r="B29" s="29" t="s">
        <v>40</v>
      </c>
      <c r="C29" s="25"/>
      <c r="D29" s="178" t="n">
        <v>-210</v>
      </c>
      <c r="E29" s="178" t="n">
        <v>-355</v>
      </c>
      <c r="F29" s="28" t="n">
        <f aca="false">'Debt Forecast'!F33</f>
        <v>-300</v>
      </c>
      <c r="G29" s="28" t="n">
        <f aca="false">'Debt Forecast'!G33</f>
        <v>-200</v>
      </c>
      <c r="H29" s="28" t="n">
        <f aca="false">'Debt Forecast'!H33</f>
        <v>-100</v>
      </c>
      <c r="I29" s="28" t="n">
        <f aca="false">'Debt Forecast'!I33</f>
        <v>-50</v>
      </c>
      <c r="J29" s="28" t="n">
        <f aca="false">'Debt Forecast'!J33</f>
        <v>-50</v>
      </c>
      <c r="K29" s="2"/>
    </row>
    <row r="30" customFormat="false" ht="13.5" hidden="false" customHeight="true" outlineLevel="0" collapsed="false">
      <c r="A30" s="1"/>
      <c r="B30" s="29" t="s">
        <v>42</v>
      </c>
      <c r="C30" s="25"/>
      <c r="D30" s="178" t="n">
        <v>-75</v>
      </c>
      <c r="E30" s="178" t="n">
        <v>-80</v>
      </c>
      <c r="F30" s="28" t="n">
        <f aca="false">'Shareholder''s Equity Forecast'!F19</f>
        <v>-100</v>
      </c>
      <c r="G30" s="28" t="n">
        <f aca="false">'Shareholder''s Equity Forecast'!G19</f>
        <v>-100</v>
      </c>
      <c r="H30" s="28" t="n">
        <f aca="false">'Shareholder''s Equity Forecast'!H19</f>
        <v>-100</v>
      </c>
      <c r="I30" s="28" t="n">
        <f aca="false">'Shareholder''s Equity Forecast'!I19</f>
        <v>-100</v>
      </c>
      <c r="J30" s="28" t="n">
        <f aca="false">'Shareholder''s Equity Forecast'!J19</f>
        <v>-100</v>
      </c>
      <c r="K30" s="2"/>
    </row>
    <row r="31" customFormat="false" ht="13.5" hidden="false" customHeight="true" outlineLevel="0" collapsed="false">
      <c r="A31" s="1"/>
      <c r="B31" s="29" t="s">
        <v>44</v>
      </c>
      <c r="C31" s="25"/>
      <c r="D31" s="178" t="n">
        <v>-190</v>
      </c>
      <c r="E31" s="178" t="n">
        <v>-230</v>
      </c>
      <c r="F31" s="28" t="n">
        <f aca="false">-'Shareholder''s Equity Forecast'!F7</f>
        <v>-208.798761618459</v>
      </c>
      <c r="G31" s="28" t="n">
        <f aca="false">-'Shareholder''s Equity Forecast'!G7</f>
        <v>-248.946191896254</v>
      </c>
      <c r="H31" s="28" t="n">
        <f aca="false">-'Shareholder''s Equity Forecast'!H7</f>
        <v>-296.645664912262</v>
      </c>
      <c r="I31" s="28" t="n">
        <f aca="false">-'Shareholder''s Equity Forecast'!I7</f>
        <v>-351.999449325606</v>
      </c>
      <c r="J31" s="28" t="n">
        <f aca="false">-'Shareholder''s Equity Forecast'!J7</f>
        <v>-416.364358992121</v>
      </c>
      <c r="K31" s="2"/>
    </row>
    <row r="32" customFormat="false" ht="13.5" hidden="false" customHeight="true" outlineLevel="0" collapsed="false">
      <c r="A32" s="1"/>
      <c r="B32" s="241" t="s">
        <v>45</v>
      </c>
      <c r="C32" s="242"/>
      <c r="D32" s="236" t="n">
        <f aca="false">SUM(D27:D31)</f>
        <v>-575</v>
      </c>
      <c r="E32" s="237" t="n">
        <f aca="false">SUM(E27:E31)</f>
        <v>-714</v>
      </c>
      <c r="F32" s="238" t="n">
        <f aca="false">SUM(F27:F31)</f>
        <v>-559.3294617882</v>
      </c>
      <c r="G32" s="238" t="n">
        <f aca="false">SUM(G27:G31)</f>
        <v>-591.404527282684</v>
      </c>
      <c r="H32" s="238" t="n">
        <f aca="false">SUM(H27:H31)</f>
        <v>-562.649819345547</v>
      </c>
      <c r="I32" s="238" t="n">
        <f aca="false">SUM(I27:I31)</f>
        <v>-501.999449325606</v>
      </c>
      <c r="J32" s="238" t="n">
        <f aca="false">SUM(J27:J31)</f>
        <v>-566.364358992121</v>
      </c>
      <c r="K32" s="2"/>
    </row>
    <row r="33" customFormat="false" ht="13.5" hidden="false" customHeight="true" outlineLevel="0" collapsed="false">
      <c r="A33" s="1"/>
      <c r="B33" s="2"/>
      <c r="C33" s="37"/>
      <c r="D33" s="37"/>
      <c r="E33" s="239"/>
      <c r="F33" s="37"/>
      <c r="G33" s="37"/>
      <c r="H33" s="37"/>
      <c r="I33" s="37"/>
      <c r="J33" s="37"/>
      <c r="K33" s="2"/>
    </row>
    <row r="34" customFormat="false" ht="13.5" hidden="false" customHeight="true" outlineLevel="0" collapsed="false">
      <c r="A34" s="1"/>
      <c r="B34" s="2" t="s">
        <v>47</v>
      </c>
      <c r="C34" s="37"/>
      <c r="D34" s="66" t="n">
        <f aca="false">D32+D24+D17</f>
        <v>58.108342297617</v>
      </c>
      <c r="E34" s="67" t="n">
        <f aca="false">E32+E24+E17</f>
        <v>-36.8950751520132</v>
      </c>
      <c r="F34" s="68" t="n">
        <f aca="false">F32+F24+F17</f>
        <v>-18.7132671456036</v>
      </c>
      <c r="G34" s="68" t="n">
        <f aca="false">G32+G24+G17</f>
        <v>-31.3209401228794</v>
      </c>
      <c r="H34" s="68" t="n">
        <f aca="false">H32+H24+H17</f>
        <v>120.851916970073</v>
      </c>
      <c r="I34" s="68" t="n">
        <f aca="false">I32+I24+I17</f>
        <v>324.328269359909</v>
      </c>
      <c r="J34" s="68" t="n">
        <f aca="false">J32+J24+J17</f>
        <v>425.666351246756</v>
      </c>
      <c r="K34" s="2"/>
    </row>
    <row r="35" customFormat="false" ht="13.5" hidden="false" customHeight="true" outlineLevel="0" collapsed="false">
      <c r="A35" s="1"/>
      <c r="B35" s="2" t="s">
        <v>48</v>
      </c>
      <c r="C35" s="37"/>
      <c r="D35" s="45" t="n">
        <f aca="false">C36</f>
        <v>27.5</v>
      </c>
      <c r="E35" s="46" t="n">
        <f aca="false">D36</f>
        <v>85.608342297617</v>
      </c>
      <c r="F35" s="47" t="n">
        <f aca="false">E36</f>
        <v>48.7132671456038</v>
      </c>
      <c r="G35" s="47" t="n">
        <f aca="false">F36</f>
        <v>30.0000000000002</v>
      </c>
      <c r="H35" s="47" t="n">
        <f aca="false">G36</f>
        <v>-1.32094012287916</v>
      </c>
      <c r="I35" s="47" t="n">
        <f aca="false">H36</f>
        <v>119.530976847194</v>
      </c>
      <c r="J35" s="47" t="n">
        <f aca="false">I36</f>
        <v>443.859246207103</v>
      </c>
      <c r="K35" s="2"/>
    </row>
    <row r="36" customFormat="false" ht="13.5" hidden="false" customHeight="true" outlineLevel="0" collapsed="false">
      <c r="A36" s="1"/>
      <c r="B36" s="72" t="s">
        <v>49</v>
      </c>
      <c r="C36" s="73" t="n">
        <f aca="false">'Balance Sheet'!C7</f>
        <v>27.5</v>
      </c>
      <c r="D36" s="243" t="n">
        <f aca="false">SUM(D34:D35)</f>
        <v>85.608342297617</v>
      </c>
      <c r="E36" s="74" t="n">
        <f aca="false">SUM(E34:E35)</f>
        <v>48.7132671456038</v>
      </c>
      <c r="F36" s="244" t="n">
        <f aca="false">SUM(F34:F35)</f>
        <v>30.0000000000002</v>
      </c>
      <c r="G36" s="76" t="n">
        <f aca="false">SUM(G34:G35)</f>
        <v>-1.32094012287916</v>
      </c>
      <c r="H36" s="76" t="n">
        <f aca="false">SUM(H34:H35)</f>
        <v>119.530976847194</v>
      </c>
      <c r="I36" s="76" t="n">
        <f aca="false">SUM(I34:I35)</f>
        <v>443.859246207103</v>
      </c>
      <c r="J36" s="77" t="n">
        <f aca="false">SUM(J34:J35)</f>
        <v>869.525597453859</v>
      </c>
      <c r="K36" s="2"/>
    </row>
    <row r="37" customFormat="false" ht="13.5" hidden="false" customHeight="true" outlineLevel="0" collapsed="false">
      <c r="A37" s="1"/>
      <c r="B37" s="2"/>
      <c r="C37" s="37"/>
      <c r="D37" s="37"/>
      <c r="E37" s="37"/>
      <c r="F37" s="37"/>
      <c r="G37" s="37"/>
      <c r="H37" s="37"/>
      <c r="I37" s="37"/>
      <c r="J37" s="37"/>
      <c r="K37" s="2"/>
    </row>
    <row r="38" customFormat="false" ht="13.5" hidden="false" customHeight="true" outlineLevel="0" collapsed="false">
      <c r="A38" s="1"/>
      <c r="B38" s="2" t="s">
        <v>110</v>
      </c>
      <c r="C38" s="37"/>
      <c r="D38" s="37"/>
      <c r="E38" s="37"/>
      <c r="F38" s="37"/>
      <c r="G38" s="37"/>
      <c r="H38" s="37"/>
      <c r="I38" s="37"/>
      <c r="J38" s="37"/>
      <c r="K38" s="2"/>
    </row>
    <row r="39" customFormat="false" ht="13.5" hidden="false" customHeight="true" outlineLevel="0" collapsed="false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customFormat="false" ht="13.5" hidden="false" customHeight="true" outlineLevel="0" collapsed="false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</row>
  </sheetData>
  <mergeCells count="2">
    <mergeCell ref="C3:E3"/>
    <mergeCell ref="F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9500D"/>
    <pageSetUpPr fitToPage="false"/>
  </sheetPr>
  <dimension ref="A1:L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F65" activeCellId="0" sqref="F65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49" width="34"/>
    <col collapsed="false" customWidth="true" hidden="false" outlineLevel="0" max="3" min="3" style="49" width="16.67"/>
    <col collapsed="false" customWidth="true" hidden="false" outlineLevel="0" max="11" min="4" style="49" width="14.33"/>
    <col collapsed="false" customWidth="true" hidden="false" outlineLevel="0" max="12" min="12" style="49" width="15.66"/>
    <col collapsed="false" customWidth="true" hidden="false" outlineLevel="0" max="14" min="13" style="49" width="11.33"/>
    <col collapsed="false" customWidth="false" hidden="false" outlineLevel="0" max="253" min="15" style="49" width="9.11"/>
    <col collapsed="false" customWidth="true" hidden="false" outlineLevel="0" max="254" min="254" style="49" width="2.44"/>
    <col collapsed="false" customWidth="true" hidden="false" outlineLevel="0" max="255" min="255" style="49" width="32.56"/>
    <col collapsed="false" customWidth="true" hidden="false" outlineLevel="0" max="264" min="256" style="49" width="16.11"/>
    <col collapsed="false" customWidth="true" hidden="false" outlineLevel="0" max="267" min="265" style="49" width="15.66"/>
    <col collapsed="false" customWidth="false" hidden="false" outlineLevel="0" max="268" min="268" style="49" width="9.11"/>
    <col collapsed="false" customWidth="true" hidden="false" outlineLevel="0" max="270" min="269" style="49" width="11.33"/>
    <col collapsed="false" customWidth="false" hidden="false" outlineLevel="0" max="509" min="271" style="49" width="9.11"/>
    <col collapsed="false" customWidth="true" hidden="false" outlineLevel="0" max="510" min="510" style="49" width="2.44"/>
    <col collapsed="false" customWidth="true" hidden="false" outlineLevel="0" max="511" min="511" style="49" width="32.56"/>
    <col collapsed="false" customWidth="true" hidden="false" outlineLevel="0" max="520" min="512" style="49" width="16.11"/>
    <col collapsed="false" customWidth="true" hidden="false" outlineLevel="0" max="523" min="521" style="49" width="15.66"/>
    <col collapsed="false" customWidth="false" hidden="false" outlineLevel="0" max="524" min="524" style="49" width="9.11"/>
    <col collapsed="false" customWidth="true" hidden="false" outlineLevel="0" max="526" min="525" style="49" width="11.33"/>
    <col collapsed="false" customWidth="false" hidden="false" outlineLevel="0" max="765" min="527" style="49" width="9.11"/>
    <col collapsed="false" customWidth="true" hidden="false" outlineLevel="0" max="766" min="766" style="49" width="2.44"/>
    <col collapsed="false" customWidth="true" hidden="false" outlineLevel="0" max="767" min="767" style="49" width="32.56"/>
    <col collapsed="false" customWidth="true" hidden="false" outlineLevel="0" max="776" min="768" style="49" width="16.11"/>
    <col collapsed="false" customWidth="true" hidden="false" outlineLevel="0" max="779" min="777" style="49" width="15.66"/>
    <col collapsed="false" customWidth="false" hidden="false" outlineLevel="0" max="780" min="780" style="49" width="9.11"/>
    <col collapsed="false" customWidth="true" hidden="false" outlineLevel="0" max="782" min="781" style="49" width="11.33"/>
    <col collapsed="false" customWidth="false" hidden="false" outlineLevel="0" max="1021" min="783" style="49" width="9.11"/>
    <col collapsed="false" customWidth="true" hidden="false" outlineLevel="0" max="1022" min="1022" style="49" width="2.44"/>
    <col collapsed="false" customWidth="true" hidden="false" outlineLevel="0" max="1023" min="1023" style="49" width="32.56"/>
    <col collapsed="false" customWidth="true" hidden="false" outlineLevel="0" max="1032" min="1024" style="49" width="16.11"/>
    <col collapsed="false" customWidth="true" hidden="false" outlineLevel="0" max="1035" min="1033" style="49" width="15.66"/>
    <col collapsed="false" customWidth="false" hidden="false" outlineLevel="0" max="1036" min="1036" style="49" width="9.11"/>
    <col collapsed="false" customWidth="true" hidden="false" outlineLevel="0" max="1038" min="1037" style="49" width="11.33"/>
    <col collapsed="false" customWidth="false" hidden="false" outlineLevel="0" max="1277" min="1039" style="49" width="9.11"/>
    <col collapsed="false" customWidth="true" hidden="false" outlineLevel="0" max="1278" min="1278" style="49" width="2.44"/>
    <col collapsed="false" customWidth="true" hidden="false" outlineLevel="0" max="1279" min="1279" style="49" width="32.56"/>
    <col collapsed="false" customWidth="true" hidden="false" outlineLevel="0" max="1288" min="1280" style="49" width="16.11"/>
    <col collapsed="false" customWidth="true" hidden="false" outlineLevel="0" max="1291" min="1289" style="49" width="15.66"/>
    <col collapsed="false" customWidth="false" hidden="false" outlineLevel="0" max="1292" min="1292" style="49" width="9.11"/>
    <col collapsed="false" customWidth="true" hidden="false" outlineLevel="0" max="1294" min="1293" style="49" width="11.33"/>
    <col collapsed="false" customWidth="false" hidden="false" outlineLevel="0" max="1533" min="1295" style="49" width="9.11"/>
    <col collapsed="false" customWidth="true" hidden="false" outlineLevel="0" max="1534" min="1534" style="49" width="2.44"/>
    <col collapsed="false" customWidth="true" hidden="false" outlineLevel="0" max="1535" min="1535" style="49" width="32.56"/>
    <col collapsed="false" customWidth="true" hidden="false" outlineLevel="0" max="1544" min="1536" style="49" width="16.11"/>
    <col collapsed="false" customWidth="true" hidden="false" outlineLevel="0" max="1547" min="1545" style="49" width="15.66"/>
    <col collapsed="false" customWidth="false" hidden="false" outlineLevel="0" max="1548" min="1548" style="49" width="9.11"/>
    <col collapsed="false" customWidth="true" hidden="false" outlineLevel="0" max="1550" min="1549" style="49" width="11.33"/>
    <col collapsed="false" customWidth="false" hidden="false" outlineLevel="0" max="1789" min="1551" style="49" width="9.11"/>
    <col collapsed="false" customWidth="true" hidden="false" outlineLevel="0" max="1790" min="1790" style="49" width="2.44"/>
    <col collapsed="false" customWidth="true" hidden="false" outlineLevel="0" max="1791" min="1791" style="49" width="32.56"/>
    <col collapsed="false" customWidth="true" hidden="false" outlineLevel="0" max="1800" min="1792" style="49" width="16.11"/>
    <col collapsed="false" customWidth="true" hidden="false" outlineLevel="0" max="1803" min="1801" style="49" width="15.66"/>
    <col collapsed="false" customWidth="false" hidden="false" outlineLevel="0" max="1804" min="1804" style="49" width="9.11"/>
    <col collapsed="false" customWidth="true" hidden="false" outlineLevel="0" max="1806" min="1805" style="49" width="11.33"/>
    <col collapsed="false" customWidth="false" hidden="false" outlineLevel="0" max="2045" min="1807" style="49" width="9.11"/>
    <col collapsed="false" customWidth="true" hidden="false" outlineLevel="0" max="2046" min="2046" style="49" width="2.44"/>
    <col collapsed="false" customWidth="true" hidden="false" outlineLevel="0" max="2047" min="2047" style="49" width="32.56"/>
    <col collapsed="false" customWidth="true" hidden="false" outlineLevel="0" max="2056" min="2048" style="49" width="16.11"/>
    <col collapsed="false" customWidth="true" hidden="false" outlineLevel="0" max="2059" min="2057" style="49" width="15.66"/>
    <col collapsed="false" customWidth="false" hidden="false" outlineLevel="0" max="2060" min="2060" style="49" width="9.11"/>
    <col collapsed="false" customWidth="true" hidden="false" outlineLevel="0" max="2062" min="2061" style="49" width="11.33"/>
    <col collapsed="false" customWidth="false" hidden="false" outlineLevel="0" max="2301" min="2063" style="49" width="9.11"/>
    <col collapsed="false" customWidth="true" hidden="false" outlineLevel="0" max="2302" min="2302" style="49" width="2.44"/>
    <col collapsed="false" customWidth="true" hidden="false" outlineLevel="0" max="2303" min="2303" style="49" width="32.56"/>
    <col collapsed="false" customWidth="true" hidden="false" outlineLevel="0" max="2312" min="2304" style="49" width="16.11"/>
    <col collapsed="false" customWidth="true" hidden="false" outlineLevel="0" max="2315" min="2313" style="49" width="15.66"/>
    <col collapsed="false" customWidth="false" hidden="false" outlineLevel="0" max="2316" min="2316" style="49" width="9.11"/>
    <col collapsed="false" customWidth="true" hidden="false" outlineLevel="0" max="2318" min="2317" style="49" width="11.33"/>
    <col collapsed="false" customWidth="false" hidden="false" outlineLevel="0" max="2557" min="2319" style="49" width="9.11"/>
    <col collapsed="false" customWidth="true" hidden="false" outlineLevel="0" max="2558" min="2558" style="49" width="2.44"/>
    <col collapsed="false" customWidth="true" hidden="false" outlineLevel="0" max="2559" min="2559" style="49" width="32.56"/>
    <col collapsed="false" customWidth="true" hidden="false" outlineLevel="0" max="2568" min="2560" style="49" width="16.11"/>
    <col collapsed="false" customWidth="true" hidden="false" outlineLevel="0" max="2571" min="2569" style="49" width="15.66"/>
    <col collapsed="false" customWidth="false" hidden="false" outlineLevel="0" max="2572" min="2572" style="49" width="9.11"/>
    <col collapsed="false" customWidth="true" hidden="false" outlineLevel="0" max="2574" min="2573" style="49" width="11.33"/>
    <col collapsed="false" customWidth="false" hidden="false" outlineLevel="0" max="2813" min="2575" style="49" width="9.11"/>
    <col collapsed="false" customWidth="true" hidden="false" outlineLevel="0" max="2814" min="2814" style="49" width="2.44"/>
    <col collapsed="false" customWidth="true" hidden="false" outlineLevel="0" max="2815" min="2815" style="49" width="32.56"/>
    <col collapsed="false" customWidth="true" hidden="false" outlineLevel="0" max="2824" min="2816" style="49" width="16.11"/>
    <col collapsed="false" customWidth="true" hidden="false" outlineLevel="0" max="2827" min="2825" style="49" width="15.66"/>
    <col collapsed="false" customWidth="false" hidden="false" outlineLevel="0" max="2828" min="2828" style="49" width="9.11"/>
    <col collapsed="false" customWidth="true" hidden="false" outlineLevel="0" max="2830" min="2829" style="49" width="11.33"/>
    <col collapsed="false" customWidth="false" hidden="false" outlineLevel="0" max="3069" min="2831" style="49" width="9.11"/>
    <col collapsed="false" customWidth="true" hidden="false" outlineLevel="0" max="3070" min="3070" style="49" width="2.44"/>
    <col collapsed="false" customWidth="true" hidden="false" outlineLevel="0" max="3071" min="3071" style="49" width="32.56"/>
    <col collapsed="false" customWidth="true" hidden="false" outlineLevel="0" max="3080" min="3072" style="49" width="16.11"/>
    <col collapsed="false" customWidth="true" hidden="false" outlineLevel="0" max="3083" min="3081" style="49" width="15.66"/>
    <col collapsed="false" customWidth="false" hidden="false" outlineLevel="0" max="3084" min="3084" style="49" width="9.11"/>
    <col collapsed="false" customWidth="true" hidden="false" outlineLevel="0" max="3086" min="3085" style="49" width="11.33"/>
    <col collapsed="false" customWidth="false" hidden="false" outlineLevel="0" max="3325" min="3087" style="49" width="9.11"/>
    <col collapsed="false" customWidth="true" hidden="false" outlineLevel="0" max="3326" min="3326" style="49" width="2.44"/>
    <col collapsed="false" customWidth="true" hidden="false" outlineLevel="0" max="3327" min="3327" style="49" width="32.56"/>
    <col collapsed="false" customWidth="true" hidden="false" outlineLevel="0" max="3336" min="3328" style="49" width="16.11"/>
    <col collapsed="false" customWidth="true" hidden="false" outlineLevel="0" max="3339" min="3337" style="49" width="15.66"/>
    <col collapsed="false" customWidth="false" hidden="false" outlineLevel="0" max="3340" min="3340" style="49" width="9.11"/>
    <col collapsed="false" customWidth="true" hidden="false" outlineLevel="0" max="3342" min="3341" style="49" width="11.33"/>
    <col collapsed="false" customWidth="false" hidden="false" outlineLevel="0" max="3581" min="3343" style="49" width="9.11"/>
    <col collapsed="false" customWidth="true" hidden="false" outlineLevel="0" max="3582" min="3582" style="49" width="2.44"/>
    <col collapsed="false" customWidth="true" hidden="false" outlineLevel="0" max="3583" min="3583" style="49" width="32.56"/>
    <col collapsed="false" customWidth="true" hidden="false" outlineLevel="0" max="3592" min="3584" style="49" width="16.11"/>
    <col collapsed="false" customWidth="true" hidden="false" outlineLevel="0" max="3595" min="3593" style="49" width="15.66"/>
    <col collapsed="false" customWidth="false" hidden="false" outlineLevel="0" max="3596" min="3596" style="49" width="9.11"/>
    <col collapsed="false" customWidth="true" hidden="false" outlineLevel="0" max="3598" min="3597" style="49" width="11.33"/>
    <col collapsed="false" customWidth="false" hidden="false" outlineLevel="0" max="3837" min="3599" style="49" width="9.11"/>
    <col collapsed="false" customWidth="true" hidden="false" outlineLevel="0" max="3838" min="3838" style="49" width="2.44"/>
    <col collapsed="false" customWidth="true" hidden="false" outlineLevel="0" max="3839" min="3839" style="49" width="32.56"/>
    <col collapsed="false" customWidth="true" hidden="false" outlineLevel="0" max="3848" min="3840" style="49" width="16.11"/>
    <col collapsed="false" customWidth="true" hidden="false" outlineLevel="0" max="3851" min="3849" style="49" width="15.66"/>
    <col collapsed="false" customWidth="false" hidden="false" outlineLevel="0" max="3852" min="3852" style="49" width="9.11"/>
    <col collapsed="false" customWidth="true" hidden="false" outlineLevel="0" max="3854" min="3853" style="49" width="11.33"/>
    <col collapsed="false" customWidth="false" hidden="false" outlineLevel="0" max="4093" min="3855" style="49" width="9.11"/>
    <col collapsed="false" customWidth="true" hidden="false" outlineLevel="0" max="4094" min="4094" style="49" width="2.44"/>
    <col collapsed="false" customWidth="true" hidden="false" outlineLevel="0" max="4095" min="4095" style="49" width="32.56"/>
    <col collapsed="false" customWidth="true" hidden="false" outlineLevel="0" max="4104" min="4096" style="49" width="16.11"/>
    <col collapsed="false" customWidth="true" hidden="false" outlineLevel="0" max="4107" min="4105" style="49" width="15.66"/>
    <col collapsed="false" customWidth="false" hidden="false" outlineLevel="0" max="4108" min="4108" style="49" width="9.11"/>
    <col collapsed="false" customWidth="true" hidden="false" outlineLevel="0" max="4110" min="4109" style="49" width="11.33"/>
    <col collapsed="false" customWidth="false" hidden="false" outlineLevel="0" max="4349" min="4111" style="49" width="9.11"/>
    <col collapsed="false" customWidth="true" hidden="false" outlineLevel="0" max="4350" min="4350" style="49" width="2.44"/>
    <col collapsed="false" customWidth="true" hidden="false" outlineLevel="0" max="4351" min="4351" style="49" width="32.56"/>
    <col collapsed="false" customWidth="true" hidden="false" outlineLevel="0" max="4360" min="4352" style="49" width="16.11"/>
    <col collapsed="false" customWidth="true" hidden="false" outlineLevel="0" max="4363" min="4361" style="49" width="15.66"/>
    <col collapsed="false" customWidth="false" hidden="false" outlineLevel="0" max="4364" min="4364" style="49" width="9.11"/>
    <col collapsed="false" customWidth="true" hidden="false" outlineLevel="0" max="4366" min="4365" style="49" width="11.33"/>
    <col collapsed="false" customWidth="false" hidden="false" outlineLevel="0" max="4605" min="4367" style="49" width="9.11"/>
    <col collapsed="false" customWidth="true" hidden="false" outlineLevel="0" max="4606" min="4606" style="49" width="2.44"/>
    <col collapsed="false" customWidth="true" hidden="false" outlineLevel="0" max="4607" min="4607" style="49" width="32.56"/>
    <col collapsed="false" customWidth="true" hidden="false" outlineLevel="0" max="4616" min="4608" style="49" width="16.11"/>
    <col collapsed="false" customWidth="true" hidden="false" outlineLevel="0" max="4619" min="4617" style="49" width="15.66"/>
    <col collapsed="false" customWidth="false" hidden="false" outlineLevel="0" max="4620" min="4620" style="49" width="9.11"/>
    <col collapsed="false" customWidth="true" hidden="false" outlineLevel="0" max="4622" min="4621" style="49" width="11.33"/>
    <col collapsed="false" customWidth="false" hidden="false" outlineLevel="0" max="4861" min="4623" style="49" width="9.11"/>
    <col collapsed="false" customWidth="true" hidden="false" outlineLevel="0" max="4862" min="4862" style="49" width="2.44"/>
    <col collapsed="false" customWidth="true" hidden="false" outlineLevel="0" max="4863" min="4863" style="49" width="32.56"/>
    <col collapsed="false" customWidth="true" hidden="false" outlineLevel="0" max="4872" min="4864" style="49" width="16.11"/>
    <col collapsed="false" customWidth="true" hidden="false" outlineLevel="0" max="4875" min="4873" style="49" width="15.66"/>
    <col collapsed="false" customWidth="false" hidden="false" outlineLevel="0" max="4876" min="4876" style="49" width="9.11"/>
    <col collapsed="false" customWidth="true" hidden="false" outlineLevel="0" max="4878" min="4877" style="49" width="11.33"/>
    <col collapsed="false" customWidth="false" hidden="false" outlineLevel="0" max="5117" min="4879" style="49" width="9.11"/>
    <col collapsed="false" customWidth="true" hidden="false" outlineLevel="0" max="5118" min="5118" style="49" width="2.44"/>
    <col collapsed="false" customWidth="true" hidden="false" outlineLevel="0" max="5119" min="5119" style="49" width="32.56"/>
    <col collapsed="false" customWidth="true" hidden="false" outlineLevel="0" max="5128" min="5120" style="49" width="16.11"/>
    <col collapsed="false" customWidth="true" hidden="false" outlineLevel="0" max="5131" min="5129" style="49" width="15.66"/>
    <col collapsed="false" customWidth="false" hidden="false" outlineLevel="0" max="5132" min="5132" style="49" width="9.11"/>
    <col collapsed="false" customWidth="true" hidden="false" outlineLevel="0" max="5134" min="5133" style="49" width="11.33"/>
    <col collapsed="false" customWidth="false" hidden="false" outlineLevel="0" max="5373" min="5135" style="49" width="9.11"/>
    <col collapsed="false" customWidth="true" hidden="false" outlineLevel="0" max="5374" min="5374" style="49" width="2.44"/>
    <col collapsed="false" customWidth="true" hidden="false" outlineLevel="0" max="5375" min="5375" style="49" width="32.56"/>
    <col collapsed="false" customWidth="true" hidden="false" outlineLevel="0" max="5384" min="5376" style="49" width="16.11"/>
    <col collapsed="false" customWidth="true" hidden="false" outlineLevel="0" max="5387" min="5385" style="49" width="15.66"/>
    <col collapsed="false" customWidth="false" hidden="false" outlineLevel="0" max="5388" min="5388" style="49" width="9.11"/>
    <col collapsed="false" customWidth="true" hidden="false" outlineLevel="0" max="5390" min="5389" style="49" width="11.33"/>
    <col collapsed="false" customWidth="false" hidden="false" outlineLevel="0" max="5629" min="5391" style="49" width="9.11"/>
    <col collapsed="false" customWidth="true" hidden="false" outlineLevel="0" max="5630" min="5630" style="49" width="2.44"/>
    <col collapsed="false" customWidth="true" hidden="false" outlineLevel="0" max="5631" min="5631" style="49" width="32.56"/>
    <col collapsed="false" customWidth="true" hidden="false" outlineLevel="0" max="5640" min="5632" style="49" width="16.11"/>
    <col collapsed="false" customWidth="true" hidden="false" outlineLevel="0" max="5643" min="5641" style="49" width="15.66"/>
    <col collapsed="false" customWidth="false" hidden="false" outlineLevel="0" max="5644" min="5644" style="49" width="9.11"/>
    <col collapsed="false" customWidth="true" hidden="false" outlineLevel="0" max="5646" min="5645" style="49" width="11.33"/>
    <col collapsed="false" customWidth="false" hidden="false" outlineLevel="0" max="5885" min="5647" style="49" width="9.11"/>
    <col collapsed="false" customWidth="true" hidden="false" outlineLevel="0" max="5886" min="5886" style="49" width="2.44"/>
    <col collapsed="false" customWidth="true" hidden="false" outlineLevel="0" max="5887" min="5887" style="49" width="32.56"/>
    <col collapsed="false" customWidth="true" hidden="false" outlineLevel="0" max="5896" min="5888" style="49" width="16.11"/>
    <col collapsed="false" customWidth="true" hidden="false" outlineLevel="0" max="5899" min="5897" style="49" width="15.66"/>
    <col collapsed="false" customWidth="false" hidden="false" outlineLevel="0" max="5900" min="5900" style="49" width="9.11"/>
    <col collapsed="false" customWidth="true" hidden="false" outlineLevel="0" max="5902" min="5901" style="49" width="11.33"/>
    <col collapsed="false" customWidth="false" hidden="false" outlineLevel="0" max="6141" min="5903" style="49" width="9.11"/>
    <col collapsed="false" customWidth="true" hidden="false" outlineLevel="0" max="6142" min="6142" style="49" width="2.44"/>
    <col collapsed="false" customWidth="true" hidden="false" outlineLevel="0" max="6143" min="6143" style="49" width="32.56"/>
    <col collapsed="false" customWidth="true" hidden="false" outlineLevel="0" max="6152" min="6144" style="49" width="16.11"/>
    <col collapsed="false" customWidth="true" hidden="false" outlineLevel="0" max="6155" min="6153" style="49" width="15.66"/>
    <col collapsed="false" customWidth="false" hidden="false" outlineLevel="0" max="6156" min="6156" style="49" width="9.11"/>
    <col collapsed="false" customWidth="true" hidden="false" outlineLevel="0" max="6158" min="6157" style="49" width="11.33"/>
    <col collapsed="false" customWidth="false" hidden="false" outlineLevel="0" max="6397" min="6159" style="49" width="9.11"/>
    <col collapsed="false" customWidth="true" hidden="false" outlineLevel="0" max="6398" min="6398" style="49" width="2.44"/>
    <col collapsed="false" customWidth="true" hidden="false" outlineLevel="0" max="6399" min="6399" style="49" width="32.56"/>
    <col collapsed="false" customWidth="true" hidden="false" outlineLevel="0" max="6408" min="6400" style="49" width="16.11"/>
    <col collapsed="false" customWidth="true" hidden="false" outlineLevel="0" max="6411" min="6409" style="49" width="15.66"/>
    <col collapsed="false" customWidth="false" hidden="false" outlineLevel="0" max="6412" min="6412" style="49" width="9.11"/>
    <col collapsed="false" customWidth="true" hidden="false" outlineLevel="0" max="6414" min="6413" style="49" width="11.33"/>
    <col collapsed="false" customWidth="false" hidden="false" outlineLevel="0" max="6653" min="6415" style="49" width="9.11"/>
    <col collapsed="false" customWidth="true" hidden="false" outlineLevel="0" max="6654" min="6654" style="49" width="2.44"/>
    <col collapsed="false" customWidth="true" hidden="false" outlineLevel="0" max="6655" min="6655" style="49" width="32.56"/>
    <col collapsed="false" customWidth="true" hidden="false" outlineLevel="0" max="6664" min="6656" style="49" width="16.11"/>
    <col collapsed="false" customWidth="true" hidden="false" outlineLevel="0" max="6667" min="6665" style="49" width="15.66"/>
    <col collapsed="false" customWidth="false" hidden="false" outlineLevel="0" max="6668" min="6668" style="49" width="9.11"/>
    <col collapsed="false" customWidth="true" hidden="false" outlineLevel="0" max="6670" min="6669" style="49" width="11.33"/>
    <col collapsed="false" customWidth="false" hidden="false" outlineLevel="0" max="6909" min="6671" style="49" width="9.11"/>
    <col collapsed="false" customWidth="true" hidden="false" outlineLevel="0" max="6910" min="6910" style="49" width="2.44"/>
    <col collapsed="false" customWidth="true" hidden="false" outlineLevel="0" max="6911" min="6911" style="49" width="32.56"/>
    <col collapsed="false" customWidth="true" hidden="false" outlineLevel="0" max="6920" min="6912" style="49" width="16.11"/>
    <col collapsed="false" customWidth="true" hidden="false" outlineLevel="0" max="6923" min="6921" style="49" width="15.66"/>
    <col collapsed="false" customWidth="false" hidden="false" outlineLevel="0" max="6924" min="6924" style="49" width="9.11"/>
    <col collapsed="false" customWidth="true" hidden="false" outlineLevel="0" max="6926" min="6925" style="49" width="11.33"/>
    <col collapsed="false" customWidth="false" hidden="false" outlineLevel="0" max="7165" min="6927" style="49" width="9.11"/>
    <col collapsed="false" customWidth="true" hidden="false" outlineLevel="0" max="7166" min="7166" style="49" width="2.44"/>
    <col collapsed="false" customWidth="true" hidden="false" outlineLevel="0" max="7167" min="7167" style="49" width="32.56"/>
    <col collapsed="false" customWidth="true" hidden="false" outlineLevel="0" max="7176" min="7168" style="49" width="16.11"/>
    <col collapsed="false" customWidth="true" hidden="false" outlineLevel="0" max="7179" min="7177" style="49" width="15.66"/>
    <col collapsed="false" customWidth="false" hidden="false" outlineLevel="0" max="7180" min="7180" style="49" width="9.11"/>
    <col collapsed="false" customWidth="true" hidden="false" outlineLevel="0" max="7182" min="7181" style="49" width="11.33"/>
    <col collapsed="false" customWidth="false" hidden="false" outlineLevel="0" max="7421" min="7183" style="49" width="9.11"/>
    <col collapsed="false" customWidth="true" hidden="false" outlineLevel="0" max="7422" min="7422" style="49" width="2.44"/>
    <col collapsed="false" customWidth="true" hidden="false" outlineLevel="0" max="7423" min="7423" style="49" width="32.56"/>
    <col collapsed="false" customWidth="true" hidden="false" outlineLevel="0" max="7432" min="7424" style="49" width="16.11"/>
    <col collapsed="false" customWidth="true" hidden="false" outlineLevel="0" max="7435" min="7433" style="49" width="15.66"/>
    <col collapsed="false" customWidth="false" hidden="false" outlineLevel="0" max="7436" min="7436" style="49" width="9.11"/>
    <col collapsed="false" customWidth="true" hidden="false" outlineLevel="0" max="7438" min="7437" style="49" width="11.33"/>
    <col collapsed="false" customWidth="false" hidden="false" outlineLevel="0" max="7677" min="7439" style="49" width="9.11"/>
    <col collapsed="false" customWidth="true" hidden="false" outlineLevel="0" max="7678" min="7678" style="49" width="2.44"/>
    <col collapsed="false" customWidth="true" hidden="false" outlineLevel="0" max="7679" min="7679" style="49" width="32.56"/>
    <col collapsed="false" customWidth="true" hidden="false" outlineLevel="0" max="7688" min="7680" style="49" width="16.11"/>
    <col collapsed="false" customWidth="true" hidden="false" outlineLevel="0" max="7691" min="7689" style="49" width="15.66"/>
    <col collapsed="false" customWidth="false" hidden="false" outlineLevel="0" max="7692" min="7692" style="49" width="9.11"/>
    <col collapsed="false" customWidth="true" hidden="false" outlineLevel="0" max="7694" min="7693" style="49" width="11.33"/>
    <col collapsed="false" customWidth="false" hidden="false" outlineLevel="0" max="7933" min="7695" style="49" width="9.11"/>
    <col collapsed="false" customWidth="true" hidden="false" outlineLevel="0" max="7934" min="7934" style="49" width="2.44"/>
    <col collapsed="false" customWidth="true" hidden="false" outlineLevel="0" max="7935" min="7935" style="49" width="32.56"/>
    <col collapsed="false" customWidth="true" hidden="false" outlineLevel="0" max="7944" min="7936" style="49" width="16.11"/>
    <col collapsed="false" customWidth="true" hidden="false" outlineLevel="0" max="7947" min="7945" style="49" width="15.66"/>
    <col collapsed="false" customWidth="false" hidden="false" outlineLevel="0" max="7948" min="7948" style="49" width="9.11"/>
    <col collapsed="false" customWidth="true" hidden="false" outlineLevel="0" max="7950" min="7949" style="49" width="11.33"/>
    <col collapsed="false" customWidth="false" hidden="false" outlineLevel="0" max="8189" min="7951" style="49" width="9.11"/>
    <col collapsed="false" customWidth="true" hidden="false" outlineLevel="0" max="8190" min="8190" style="49" width="2.44"/>
    <col collapsed="false" customWidth="true" hidden="false" outlineLevel="0" max="8191" min="8191" style="49" width="32.56"/>
    <col collapsed="false" customWidth="true" hidden="false" outlineLevel="0" max="8200" min="8192" style="49" width="16.11"/>
    <col collapsed="false" customWidth="true" hidden="false" outlineLevel="0" max="8203" min="8201" style="49" width="15.66"/>
    <col collapsed="false" customWidth="false" hidden="false" outlineLevel="0" max="8204" min="8204" style="49" width="9.11"/>
    <col collapsed="false" customWidth="true" hidden="false" outlineLevel="0" max="8206" min="8205" style="49" width="11.33"/>
    <col collapsed="false" customWidth="false" hidden="false" outlineLevel="0" max="8445" min="8207" style="49" width="9.11"/>
    <col collapsed="false" customWidth="true" hidden="false" outlineLevel="0" max="8446" min="8446" style="49" width="2.44"/>
    <col collapsed="false" customWidth="true" hidden="false" outlineLevel="0" max="8447" min="8447" style="49" width="32.56"/>
    <col collapsed="false" customWidth="true" hidden="false" outlineLevel="0" max="8456" min="8448" style="49" width="16.11"/>
    <col collapsed="false" customWidth="true" hidden="false" outlineLevel="0" max="8459" min="8457" style="49" width="15.66"/>
    <col collapsed="false" customWidth="false" hidden="false" outlineLevel="0" max="8460" min="8460" style="49" width="9.11"/>
    <col collapsed="false" customWidth="true" hidden="false" outlineLevel="0" max="8462" min="8461" style="49" width="11.33"/>
    <col collapsed="false" customWidth="false" hidden="false" outlineLevel="0" max="8701" min="8463" style="49" width="9.11"/>
    <col collapsed="false" customWidth="true" hidden="false" outlineLevel="0" max="8702" min="8702" style="49" width="2.44"/>
    <col collapsed="false" customWidth="true" hidden="false" outlineLevel="0" max="8703" min="8703" style="49" width="32.56"/>
    <col collapsed="false" customWidth="true" hidden="false" outlineLevel="0" max="8712" min="8704" style="49" width="16.11"/>
    <col collapsed="false" customWidth="true" hidden="false" outlineLevel="0" max="8715" min="8713" style="49" width="15.66"/>
    <col collapsed="false" customWidth="false" hidden="false" outlineLevel="0" max="8716" min="8716" style="49" width="9.11"/>
    <col collapsed="false" customWidth="true" hidden="false" outlineLevel="0" max="8718" min="8717" style="49" width="11.33"/>
    <col collapsed="false" customWidth="false" hidden="false" outlineLevel="0" max="8957" min="8719" style="49" width="9.11"/>
    <col collapsed="false" customWidth="true" hidden="false" outlineLevel="0" max="8958" min="8958" style="49" width="2.44"/>
    <col collapsed="false" customWidth="true" hidden="false" outlineLevel="0" max="8959" min="8959" style="49" width="32.56"/>
    <col collapsed="false" customWidth="true" hidden="false" outlineLevel="0" max="8968" min="8960" style="49" width="16.11"/>
    <col collapsed="false" customWidth="true" hidden="false" outlineLevel="0" max="8971" min="8969" style="49" width="15.66"/>
    <col collapsed="false" customWidth="false" hidden="false" outlineLevel="0" max="8972" min="8972" style="49" width="9.11"/>
    <col collapsed="false" customWidth="true" hidden="false" outlineLevel="0" max="8974" min="8973" style="49" width="11.33"/>
    <col collapsed="false" customWidth="false" hidden="false" outlineLevel="0" max="9213" min="8975" style="49" width="9.11"/>
    <col collapsed="false" customWidth="true" hidden="false" outlineLevel="0" max="9214" min="9214" style="49" width="2.44"/>
    <col collapsed="false" customWidth="true" hidden="false" outlineLevel="0" max="9215" min="9215" style="49" width="32.56"/>
    <col collapsed="false" customWidth="true" hidden="false" outlineLevel="0" max="9224" min="9216" style="49" width="16.11"/>
    <col collapsed="false" customWidth="true" hidden="false" outlineLevel="0" max="9227" min="9225" style="49" width="15.66"/>
    <col collapsed="false" customWidth="false" hidden="false" outlineLevel="0" max="9228" min="9228" style="49" width="9.11"/>
    <col collapsed="false" customWidth="true" hidden="false" outlineLevel="0" max="9230" min="9229" style="49" width="11.33"/>
    <col collapsed="false" customWidth="false" hidden="false" outlineLevel="0" max="9469" min="9231" style="49" width="9.11"/>
    <col collapsed="false" customWidth="true" hidden="false" outlineLevel="0" max="9470" min="9470" style="49" width="2.44"/>
    <col collapsed="false" customWidth="true" hidden="false" outlineLevel="0" max="9471" min="9471" style="49" width="32.56"/>
    <col collapsed="false" customWidth="true" hidden="false" outlineLevel="0" max="9480" min="9472" style="49" width="16.11"/>
    <col collapsed="false" customWidth="true" hidden="false" outlineLevel="0" max="9483" min="9481" style="49" width="15.66"/>
    <col collapsed="false" customWidth="false" hidden="false" outlineLevel="0" max="9484" min="9484" style="49" width="9.11"/>
    <col collapsed="false" customWidth="true" hidden="false" outlineLevel="0" max="9486" min="9485" style="49" width="11.33"/>
    <col collapsed="false" customWidth="false" hidden="false" outlineLevel="0" max="9725" min="9487" style="49" width="9.11"/>
    <col collapsed="false" customWidth="true" hidden="false" outlineLevel="0" max="9726" min="9726" style="49" width="2.44"/>
    <col collapsed="false" customWidth="true" hidden="false" outlineLevel="0" max="9727" min="9727" style="49" width="32.56"/>
    <col collapsed="false" customWidth="true" hidden="false" outlineLevel="0" max="9736" min="9728" style="49" width="16.11"/>
    <col collapsed="false" customWidth="true" hidden="false" outlineLevel="0" max="9739" min="9737" style="49" width="15.66"/>
    <col collapsed="false" customWidth="false" hidden="false" outlineLevel="0" max="9740" min="9740" style="49" width="9.11"/>
    <col collapsed="false" customWidth="true" hidden="false" outlineLevel="0" max="9742" min="9741" style="49" width="11.33"/>
    <col collapsed="false" customWidth="false" hidden="false" outlineLevel="0" max="9981" min="9743" style="49" width="9.11"/>
    <col collapsed="false" customWidth="true" hidden="false" outlineLevel="0" max="9982" min="9982" style="49" width="2.44"/>
    <col collapsed="false" customWidth="true" hidden="false" outlineLevel="0" max="9983" min="9983" style="49" width="32.56"/>
    <col collapsed="false" customWidth="true" hidden="false" outlineLevel="0" max="9992" min="9984" style="49" width="16.11"/>
    <col collapsed="false" customWidth="true" hidden="false" outlineLevel="0" max="9995" min="9993" style="49" width="15.66"/>
    <col collapsed="false" customWidth="false" hidden="false" outlineLevel="0" max="9996" min="9996" style="49" width="9.11"/>
    <col collapsed="false" customWidth="true" hidden="false" outlineLevel="0" max="9998" min="9997" style="49" width="11.33"/>
    <col collapsed="false" customWidth="false" hidden="false" outlineLevel="0" max="10237" min="9999" style="49" width="9.11"/>
    <col collapsed="false" customWidth="true" hidden="false" outlineLevel="0" max="10238" min="10238" style="49" width="2.44"/>
    <col collapsed="false" customWidth="true" hidden="false" outlineLevel="0" max="10239" min="10239" style="49" width="32.56"/>
    <col collapsed="false" customWidth="true" hidden="false" outlineLevel="0" max="10248" min="10240" style="49" width="16.11"/>
    <col collapsed="false" customWidth="true" hidden="false" outlineLevel="0" max="10251" min="10249" style="49" width="15.66"/>
    <col collapsed="false" customWidth="false" hidden="false" outlineLevel="0" max="10252" min="10252" style="49" width="9.11"/>
    <col collapsed="false" customWidth="true" hidden="false" outlineLevel="0" max="10254" min="10253" style="49" width="11.33"/>
    <col collapsed="false" customWidth="false" hidden="false" outlineLevel="0" max="10493" min="10255" style="49" width="9.11"/>
    <col collapsed="false" customWidth="true" hidden="false" outlineLevel="0" max="10494" min="10494" style="49" width="2.44"/>
    <col collapsed="false" customWidth="true" hidden="false" outlineLevel="0" max="10495" min="10495" style="49" width="32.56"/>
    <col collapsed="false" customWidth="true" hidden="false" outlineLevel="0" max="10504" min="10496" style="49" width="16.11"/>
    <col collapsed="false" customWidth="true" hidden="false" outlineLevel="0" max="10507" min="10505" style="49" width="15.66"/>
    <col collapsed="false" customWidth="false" hidden="false" outlineLevel="0" max="10508" min="10508" style="49" width="9.11"/>
    <col collapsed="false" customWidth="true" hidden="false" outlineLevel="0" max="10510" min="10509" style="49" width="11.33"/>
    <col collapsed="false" customWidth="false" hidden="false" outlineLevel="0" max="10749" min="10511" style="49" width="9.11"/>
    <col collapsed="false" customWidth="true" hidden="false" outlineLevel="0" max="10750" min="10750" style="49" width="2.44"/>
    <col collapsed="false" customWidth="true" hidden="false" outlineLevel="0" max="10751" min="10751" style="49" width="32.56"/>
    <col collapsed="false" customWidth="true" hidden="false" outlineLevel="0" max="10760" min="10752" style="49" width="16.11"/>
    <col collapsed="false" customWidth="true" hidden="false" outlineLevel="0" max="10763" min="10761" style="49" width="15.66"/>
    <col collapsed="false" customWidth="false" hidden="false" outlineLevel="0" max="10764" min="10764" style="49" width="9.11"/>
    <col collapsed="false" customWidth="true" hidden="false" outlineLevel="0" max="10766" min="10765" style="49" width="11.33"/>
    <col collapsed="false" customWidth="false" hidden="false" outlineLevel="0" max="11005" min="10767" style="49" width="9.11"/>
    <col collapsed="false" customWidth="true" hidden="false" outlineLevel="0" max="11006" min="11006" style="49" width="2.44"/>
    <col collapsed="false" customWidth="true" hidden="false" outlineLevel="0" max="11007" min="11007" style="49" width="32.56"/>
    <col collapsed="false" customWidth="true" hidden="false" outlineLevel="0" max="11016" min="11008" style="49" width="16.11"/>
    <col collapsed="false" customWidth="true" hidden="false" outlineLevel="0" max="11019" min="11017" style="49" width="15.66"/>
    <col collapsed="false" customWidth="false" hidden="false" outlineLevel="0" max="11020" min="11020" style="49" width="9.11"/>
    <col collapsed="false" customWidth="true" hidden="false" outlineLevel="0" max="11022" min="11021" style="49" width="11.33"/>
    <col collapsed="false" customWidth="false" hidden="false" outlineLevel="0" max="11261" min="11023" style="49" width="9.11"/>
    <col collapsed="false" customWidth="true" hidden="false" outlineLevel="0" max="11262" min="11262" style="49" width="2.44"/>
    <col collapsed="false" customWidth="true" hidden="false" outlineLevel="0" max="11263" min="11263" style="49" width="32.56"/>
    <col collapsed="false" customWidth="true" hidden="false" outlineLevel="0" max="11272" min="11264" style="49" width="16.11"/>
    <col collapsed="false" customWidth="true" hidden="false" outlineLevel="0" max="11275" min="11273" style="49" width="15.66"/>
    <col collapsed="false" customWidth="false" hidden="false" outlineLevel="0" max="11276" min="11276" style="49" width="9.11"/>
    <col collapsed="false" customWidth="true" hidden="false" outlineLevel="0" max="11278" min="11277" style="49" width="11.33"/>
    <col collapsed="false" customWidth="false" hidden="false" outlineLevel="0" max="11517" min="11279" style="49" width="9.11"/>
    <col collapsed="false" customWidth="true" hidden="false" outlineLevel="0" max="11518" min="11518" style="49" width="2.44"/>
    <col collapsed="false" customWidth="true" hidden="false" outlineLevel="0" max="11519" min="11519" style="49" width="32.56"/>
    <col collapsed="false" customWidth="true" hidden="false" outlineLevel="0" max="11528" min="11520" style="49" width="16.11"/>
    <col collapsed="false" customWidth="true" hidden="false" outlineLevel="0" max="11531" min="11529" style="49" width="15.66"/>
    <col collapsed="false" customWidth="false" hidden="false" outlineLevel="0" max="11532" min="11532" style="49" width="9.11"/>
    <col collapsed="false" customWidth="true" hidden="false" outlineLevel="0" max="11534" min="11533" style="49" width="11.33"/>
    <col collapsed="false" customWidth="false" hidden="false" outlineLevel="0" max="11773" min="11535" style="49" width="9.11"/>
    <col collapsed="false" customWidth="true" hidden="false" outlineLevel="0" max="11774" min="11774" style="49" width="2.44"/>
    <col collapsed="false" customWidth="true" hidden="false" outlineLevel="0" max="11775" min="11775" style="49" width="32.56"/>
    <col collapsed="false" customWidth="true" hidden="false" outlineLevel="0" max="11784" min="11776" style="49" width="16.11"/>
    <col collapsed="false" customWidth="true" hidden="false" outlineLevel="0" max="11787" min="11785" style="49" width="15.66"/>
    <col collapsed="false" customWidth="false" hidden="false" outlineLevel="0" max="11788" min="11788" style="49" width="9.11"/>
    <col collapsed="false" customWidth="true" hidden="false" outlineLevel="0" max="11790" min="11789" style="49" width="11.33"/>
    <col collapsed="false" customWidth="false" hidden="false" outlineLevel="0" max="12029" min="11791" style="49" width="9.11"/>
    <col collapsed="false" customWidth="true" hidden="false" outlineLevel="0" max="12030" min="12030" style="49" width="2.44"/>
    <col collapsed="false" customWidth="true" hidden="false" outlineLevel="0" max="12031" min="12031" style="49" width="32.56"/>
    <col collapsed="false" customWidth="true" hidden="false" outlineLevel="0" max="12040" min="12032" style="49" width="16.11"/>
    <col collapsed="false" customWidth="true" hidden="false" outlineLevel="0" max="12043" min="12041" style="49" width="15.66"/>
    <col collapsed="false" customWidth="false" hidden="false" outlineLevel="0" max="12044" min="12044" style="49" width="9.11"/>
    <col collapsed="false" customWidth="true" hidden="false" outlineLevel="0" max="12046" min="12045" style="49" width="11.33"/>
    <col collapsed="false" customWidth="false" hidden="false" outlineLevel="0" max="12285" min="12047" style="49" width="9.11"/>
    <col collapsed="false" customWidth="true" hidden="false" outlineLevel="0" max="12286" min="12286" style="49" width="2.44"/>
    <col collapsed="false" customWidth="true" hidden="false" outlineLevel="0" max="12287" min="12287" style="49" width="32.56"/>
    <col collapsed="false" customWidth="true" hidden="false" outlineLevel="0" max="12296" min="12288" style="49" width="16.11"/>
    <col collapsed="false" customWidth="true" hidden="false" outlineLevel="0" max="12299" min="12297" style="49" width="15.66"/>
    <col collapsed="false" customWidth="false" hidden="false" outlineLevel="0" max="12300" min="12300" style="49" width="9.11"/>
    <col collapsed="false" customWidth="true" hidden="false" outlineLevel="0" max="12302" min="12301" style="49" width="11.33"/>
    <col collapsed="false" customWidth="false" hidden="false" outlineLevel="0" max="12541" min="12303" style="49" width="9.11"/>
    <col collapsed="false" customWidth="true" hidden="false" outlineLevel="0" max="12542" min="12542" style="49" width="2.44"/>
    <col collapsed="false" customWidth="true" hidden="false" outlineLevel="0" max="12543" min="12543" style="49" width="32.56"/>
    <col collapsed="false" customWidth="true" hidden="false" outlineLevel="0" max="12552" min="12544" style="49" width="16.11"/>
    <col collapsed="false" customWidth="true" hidden="false" outlineLevel="0" max="12555" min="12553" style="49" width="15.66"/>
    <col collapsed="false" customWidth="false" hidden="false" outlineLevel="0" max="12556" min="12556" style="49" width="9.11"/>
    <col collapsed="false" customWidth="true" hidden="false" outlineLevel="0" max="12558" min="12557" style="49" width="11.33"/>
    <col collapsed="false" customWidth="false" hidden="false" outlineLevel="0" max="12797" min="12559" style="49" width="9.11"/>
    <col collapsed="false" customWidth="true" hidden="false" outlineLevel="0" max="12798" min="12798" style="49" width="2.44"/>
    <col collapsed="false" customWidth="true" hidden="false" outlineLevel="0" max="12799" min="12799" style="49" width="32.56"/>
    <col collapsed="false" customWidth="true" hidden="false" outlineLevel="0" max="12808" min="12800" style="49" width="16.11"/>
    <col collapsed="false" customWidth="true" hidden="false" outlineLevel="0" max="12811" min="12809" style="49" width="15.66"/>
    <col collapsed="false" customWidth="false" hidden="false" outlineLevel="0" max="12812" min="12812" style="49" width="9.11"/>
    <col collapsed="false" customWidth="true" hidden="false" outlineLevel="0" max="12814" min="12813" style="49" width="11.33"/>
    <col collapsed="false" customWidth="false" hidden="false" outlineLevel="0" max="13053" min="12815" style="49" width="9.11"/>
    <col collapsed="false" customWidth="true" hidden="false" outlineLevel="0" max="13054" min="13054" style="49" width="2.44"/>
    <col collapsed="false" customWidth="true" hidden="false" outlineLevel="0" max="13055" min="13055" style="49" width="32.56"/>
    <col collapsed="false" customWidth="true" hidden="false" outlineLevel="0" max="13064" min="13056" style="49" width="16.11"/>
    <col collapsed="false" customWidth="true" hidden="false" outlineLevel="0" max="13067" min="13065" style="49" width="15.66"/>
    <col collapsed="false" customWidth="false" hidden="false" outlineLevel="0" max="13068" min="13068" style="49" width="9.11"/>
    <col collapsed="false" customWidth="true" hidden="false" outlineLevel="0" max="13070" min="13069" style="49" width="11.33"/>
    <col collapsed="false" customWidth="false" hidden="false" outlineLevel="0" max="13309" min="13071" style="49" width="9.11"/>
    <col collapsed="false" customWidth="true" hidden="false" outlineLevel="0" max="13310" min="13310" style="49" width="2.44"/>
    <col collapsed="false" customWidth="true" hidden="false" outlineLevel="0" max="13311" min="13311" style="49" width="32.56"/>
    <col collapsed="false" customWidth="true" hidden="false" outlineLevel="0" max="13320" min="13312" style="49" width="16.11"/>
    <col collapsed="false" customWidth="true" hidden="false" outlineLevel="0" max="13323" min="13321" style="49" width="15.66"/>
    <col collapsed="false" customWidth="false" hidden="false" outlineLevel="0" max="13324" min="13324" style="49" width="9.11"/>
    <col collapsed="false" customWidth="true" hidden="false" outlineLevel="0" max="13326" min="13325" style="49" width="11.33"/>
    <col collapsed="false" customWidth="false" hidden="false" outlineLevel="0" max="13565" min="13327" style="49" width="9.11"/>
    <col collapsed="false" customWidth="true" hidden="false" outlineLevel="0" max="13566" min="13566" style="49" width="2.44"/>
    <col collapsed="false" customWidth="true" hidden="false" outlineLevel="0" max="13567" min="13567" style="49" width="32.56"/>
    <col collapsed="false" customWidth="true" hidden="false" outlineLevel="0" max="13576" min="13568" style="49" width="16.11"/>
    <col collapsed="false" customWidth="true" hidden="false" outlineLevel="0" max="13579" min="13577" style="49" width="15.66"/>
    <col collapsed="false" customWidth="false" hidden="false" outlineLevel="0" max="13580" min="13580" style="49" width="9.11"/>
    <col collapsed="false" customWidth="true" hidden="false" outlineLevel="0" max="13582" min="13581" style="49" width="11.33"/>
    <col collapsed="false" customWidth="false" hidden="false" outlineLevel="0" max="13821" min="13583" style="49" width="9.11"/>
    <col collapsed="false" customWidth="true" hidden="false" outlineLevel="0" max="13822" min="13822" style="49" width="2.44"/>
    <col collapsed="false" customWidth="true" hidden="false" outlineLevel="0" max="13823" min="13823" style="49" width="32.56"/>
    <col collapsed="false" customWidth="true" hidden="false" outlineLevel="0" max="13832" min="13824" style="49" width="16.11"/>
    <col collapsed="false" customWidth="true" hidden="false" outlineLevel="0" max="13835" min="13833" style="49" width="15.66"/>
    <col collapsed="false" customWidth="false" hidden="false" outlineLevel="0" max="13836" min="13836" style="49" width="9.11"/>
    <col collapsed="false" customWidth="true" hidden="false" outlineLevel="0" max="13838" min="13837" style="49" width="11.33"/>
    <col collapsed="false" customWidth="false" hidden="false" outlineLevel="0" max="14077" min="13839" style="49" width="9.11"/>
    <col collapsed="false" customWidth="true" hidden="false" outlineLevel="0" max="14078" min="14078" style="49" width="2.44"/>
    <col collapsed="false" customWidth="true" hidden="false" outlineLevel="0" max="14079" min="14079" style="49" width="32.56"/>
    <col collapsed="false" customWidth="true" hidden="false" outlineLevel="0" max="14088" min="14080" style="49" width="16.11"/>
    <col collapsed="false" customWidth="true" hidden="false" outlineLevel="0" max="14091" min="14089" style="49" width="15.66"/>
    <col collapsed="false" customWidth="false" hidden="false" outlineLevel="0" max="14092" min="14092" style="49" width="9.11"/>
    <col collapsed="false" customWidth="true" hidden="false" outlineLevel="0" max="14094" min="14093" style="49" width="11.33"/>
    <col collapsed="false" customWidth="false" hidden="false" outlineLevel="0" max="14333" min="14095" style="49" width="9.11"/>
    <col collapsed="false" customWidth="true" hidden="false" outlineLevel="0" max="14334" min="14334" style="49" width="2.44"/>
    <col collapsed="false" customWidth="true" hidden="false" outlineLevel="0" max="14335" min="14335" style="49" width="32.56"/>
    <col collapsed="false" customWidth="true" hidden="false" outlineLevel="0" max="14344" min="14336" style="49" width="16.11"/>
    <col collapsed="false" customWidth="true" hidden="false" outlineLevel="0" max="14347" min="14345" style="49" width="15.66"/>
    <col collapsed="false" customWidth="false" hidden="false" outlineLevel="0" max="14348" min="14348" style="49" width="9.11"/>
    <col collapsed="false" customWidth="true" hidden="false" outlineLevel="0" max="14350" min="14349" style="49" width="11.33"/>
    <col collapsed="false" customWidth="false" hidden="false" outlineLevel="0" max="14589" min="14351" style="49" width="9.11"/>
    <col collapsed="false" customWidth="true" hidden="false" outlineLevel="0" max="14590" min="14590" style="49" width="2.44"/>
    <col collapsed="false" customWidth="true" hidden="false" outlineLevel="0" max="14591" min="14591" style="49" width="32.56"/>
    <col collapsed="false" customWidth="true" hidden="false" outlineLevel="0" max="14600" min="14592" style="49" width="16.11"/>
    <col collapsed="false" customWidth="true" hidden="false" outlineLevel="0" max="14603" min="14601" style="49" width="15.66"/>
    <col collapsed="false" customWidth="false" hidden="false" outlineLevel="0" max="14604" min="14604" style="49" width="9.11"/>
    <col collapsed="false" customWidth="true" hidden="false" outlineLevel="0" max="14606" min="14605" style="49" width="11.33"/>
    <col collapsed="false" customWidth="false" hidden="false" outlineLevel="0" max="14845" min="14607" style="49" width="9.11"/>
    <col collapsed="false" customWidth="true" hidden="false" outlineLevel="0" max="14846" min="14846" style="49" width="2.44"/>
    <col collapsed="false" customWidth="true" hidden="false" outlineLevel="0" max="14847" min="14847" style="49" width="32.56"/>
    <col collapsed="false" customWidth="true" hidden="false" outlineLevel="0" max="14856" min="14848" style="49" width="16.11"/>
    <col collapsed="false" customWidth="true" hidden="false" outlineLevel="0" max="14859" min="14857" style="49" width="15.66"/>
    <col collapsed="false" customWidth="false" hidden="false" outlineLevel="0" max="14860" min="14860" style="49" width="9.11"/>
    <col collapsed="false" customWidth="true" hidden="false" outlineLevel="0" max="14862" min="14861" style="49" width="11.33"/>
    <col collapsed="false" customWidth="false" hidden="false" outlineLevel="0" max="15101" min="14863" style="49" width="9.11"/>
    <col collapsed="false" customWidth="true" hidden="false" outlineLevel="0" max="15102" min="15102" style="49" width="2.44"/>
    <col collapsed="false" customWidth="true" hidden="false" outlineLevel="0" max="15103" min="15103" style="49" width="32.56"/>
    <col collapsed="false" customWidth="true" hidden="false" outlineLevel="0" max="15112" min="15104" style="49" width="16.11"/>
    <col collapsed="false" customWidth="true" hidden="false" outlineLevel="0" max="15115" min="15113" style="49" width="15.66"/>
    <col collapsed="false" customWidth="false" hidden="false" outlineLevel="0" max="15116" min="15116" style="49" width="9.11"/>
    <col collapsed="false" customWidth="true" hidden="false" outlineLevel="0" max="15118" min="15117" style="49" width="11.33"/>
    <col collapsed="false" customWidth="false" hidden="false" outlineLevel="0" max="15357" min="15119" style="49" width="9.11"/>
    <col collapsed="false" customWidth="true" hidden="false" outlineLevel="0" max="15358" min="15358" style="49" width="2.44"/>
    <col collapsed="false" customWidth="true" hidden="false" outlineLevel="0" max="15359" min="15359" style="49" width="32.56"/>
    <col collapsed="false" customWidth="true" hidden="false" outlineLevel="0" max="15368" min="15360" style="49" width="16.11"/>
    <col collapsed="false" customWidth="true" hidden="false" outlineLevel="0" max="15371" min="15369" style="49" width="15.66"/>
    <col collapsed="false" customWidth="false" hidden="false" outlineLevel="0" max="15372" min="15372" style="49" width="9.11"/>
    <col collapsed="false" customWidth="true" hidden="false" outlineLevel="0" max="15374" min="15373" style="49" width="11.33"/>
    <col collapsed="false" customWidth="false" hidden="false" outlineLevel="0" max="15613" min="15375" style="49" width="9.11"/>
    <col collapsed="false" customWidth="true" hidden="false" outlineLevel="0" max="15614" min="15614" style="49" width="2.44"/>
    <col collapsed="false" customWidth="true" hidden="false" outlineLevel="0" max="15615" min="15615" style="49" width="32.56"/>
    <col collapsed="false" customWidth="true" hidden="false" outlineLevel="0" max="15624" min="15616" style="49" width="16.11"/>
    <col collapsed="false" customWidth="true" hidden="false" outlineLevel="0" max="15627" min="15625" style="49" width="15.66"/>
    <col collapsed="false" customWidth="false" hidden="false" outlineLevel="0" max="15628" min="15628" style="49" width="9.11"/>
    <col collapsed="false" customWidth="true" hidden="false" outlineLevel="0" max="15630" min="15629" style="49" width="11.33"/>
    <col collapsed="false" customWidth="false" hidden="false" outlineLevel="0" max="15869" min="15631" style="49" width="9.11"/>
    <col collapsed="false" customWidth="true" hidden="false" outlineLevel="0" max="15870" min="15870" style="49" width="2.44"/>
    <col collapsed="false" customWidth="true" hidden="false" outlineLevel="0" max="15871" min="15871" style="49" width="32.56"/>
    <col collapsed="false" customWidth="true" hidden="false" outlineLevel="0" max="15880" min="15872" style="49" width="16.11"/>
    <col collapsed="false" customWidth="true" hidden="false" outlineLevel="0" max="15883" min="15881" style="49" width="15.66"/>
    <col collapsed="false" customWidth="false" hidden="false" outlineLevel="0" max="15884" min="15884" style="49" width="9.11"/>
    <col collapsed="false" customWidth="true" hidden="false" outlineLevel="0" max="15886" min="15885" style="49" width="11.33"/>
    <col collapsed="false" customWidth="false" hidden="false" outlineLevel="0" max="16125" min="15887" style="49" width="9.11"/>
    <col collapsed="false" customWidth="true" hidden="false" outlineLevel="0" max="16126" min="16126" style="49" width="2.44"/>
    <col collapsed="false" customWidth="true" hidden="false" outlineLevel="0" max="16127" min="16127" style="49" width="32.56"/>
    <col collapsed="false" customWidth="true" hidden="false" outlineLevel="0" max="16136" min="16128" style="49" width="16.11"/>
    <col collapsed="false" customWidth="true" hidden="false" outlineLevel="0" max="16139" min="16137" style="49" width="15.66"/>
    <col collapsed="false" customWidth="false" hidden="false" outlineLevel="0" max="16140" min="16140" style="49" width="9.11"/>
    <col collapsed="false" customWidth="true" hidden="false" outlineLevel="0" max="16142" min="16141" style="49" width="11.33"/>
    <col collapsed="false" customWidth="false" hidden="false" outlineLevel="0" max="16384" min="16143" style="49" width="9.11"/>
  </cols>
  <sheetData>
    <row r="1" s="2" customFormat="true" ht="21.75" hidden="false" customHeight="true" outlineLevel="0" collapsed="false">
      <c r="A1" s="245" t="s">
        <v>0</v>
      </c>
    </row>
    <row r="2" s="2" customFormat="true" ht="18" hidden="false" customHeight="true" outlineLevel="0" collapsed="false">
      <c r="B2" s="246" t="s">
        <v>119</v>
      </c>
      <c r="C2" s="5"/>
      <c r="D2" s="5"/>
      <c r="E2" s="5"/>
      <c r="F2" s="5"/>
      <c r="G2" s="5"/>
      <c r="H2" s="5"/>
      <c r="I2" s="5"/>
      <c r="J2" s="5"/>
      <c r="K2" s="5"/>
    </row>
    <row r="3" s="2" customFormat="true" ht="13.5" hidden="false" customHeight="true" outlineLevel="0" collapsed="false"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  <c r="K3" s="70"/>
    </row>
    <row r="4" s="2" customFormat="true" ht="13.5" hidden="false" customHeight="true" outlineLevel="0" collapsed="false">
      <c r="B4" s="247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  <c r="K4" s="248"/>
    </row>
    <row r="5" customFormat="false" ht="13.5" hidden="false" customHeight="true" outlineLevel="0" collapsed="false">
      <c r="B5" s="99"/>
    </row>
    <row r="6" customFormat="false" ht="13.5" hidden="false" customHeight="true" outlineLevel="0" collapsed="false">
      <c r="B6" s="86" t="s">
        <v>120</v>
      </c>
      <c r="C6" s="249"/>
      <c r="D6" s="249"/>
      <c r="E6" s="249"/>
      <c r="F6" s="249"/>
      <c r="G6" s="249"/>
      <c r="H6" s="249"/>
      <c r="I6" s="249"/>
      <c r="J6" s="249"/>
      <c r="K6" s="249"/>
    </row>
    <row r="7" customFormat="false" ht="13.5" hidden="false" customHeight="true" outlineLevel="0" collapsed="false">
      <c r="B7" s="49" t="s">
        <v>121</v>
      </c>
      <c r="C7" s="178" t="n">
        <v>340</v>
      </c>
      <c r="D7" s="178" t="n">
        <v>391</v>
      </c>
      <c r="E7" s="178" t="n">
        <f aca="false">D7*(1+15%)</f>
        <v>449.65</v>
      </c>
      <c r="F7" s="250" t="n">
        <f aca="false">E7*(1+F8)</f>
        <v>472.1325</v>
      </c>
      <c r="G7" s="250" t="n">
        <f aca="false">F7*(1+G8)</f>
        <v>542.952375</v>
      </c>
      <c r="H7" s="250" t="n">
        <f aca="false">G7*(1+H8)</f>
        <v>624.39523125</v>
      </c>
      <c r="I7" s="250" t="n">
        <f aca="false">H7*(1+I8)</f>
        <v>718.0545159375</v>
      </c>
      <c r="J7" s="250" t="n">
        <f aca="false">I7*(1+J8)</f>
        <v>825.762693328125</v>
      </c>
      <c r="K7" s="251"/>
    </row>
    <row r="8" customFormat="false" ht="13.5" hidden="false" customHeight="true" outlineLevel="0" collapsed="false">
      <c r="B8" s="85" t="s">
        <v>122</v>
      </c>
      <c r="C8" s="252"/>
      <c r="D8" s="253" t="n">
        <f aca="false">D7/C7-1</f>
        <v>0.15</v>
      </c>
      <c r="E8" s="253" t="n">
        <f aca="false">E7/D7-1</f>
        <v>0.15</v>
      </c>
      <c r="F8" s="254" t="n">
        <v>0.05</v>
      </c>
      <c r="G8" s="254" t="n">
        <v>0.15</v>
      </c>
      <c r="H8" s="254" t="n">
        <v>0.15</v>
      </c>
      <c r="I8" s="254" t="n">
        <v>0.15</v>
      </c>
      <c r="J8" s="254" t="n">
        <v>0.15</v>
      </c>
      <c r="K8" s="255"/>
    </row>
    <row r="9" customFormat="false" ht="13.5" hidden="false" customHeight="true" outlineLevel="0" collapsed="false">
      <c r="B9" s="256"/>
      <c r="C9" s="249"/>
      <c r="D9" s="249"/>
      <c r="E9" s="249"/>
      <c r="F9" s="249"/>
      <c r="G9" s="249"/>
      <c r="H9" s="249"/>
      <c r="I9" s="249"/>
      <c r="J9" s="249"/>
      <c r="K9" s="249"/>
    </row>
    <row r="10" customFormat="false" ht="13.5" hidden="false" customHeight="true" outlineLevel="0" collapsed="false">
      <c r="B10" s="49" t="s">
        <v>123</v>
      </c>
      <c r="C10" s="257" t="n">
        <v>5</v>
      </c>
      <c r="D10" s="257" t="n">
        <v>5.2</v>
      </c>
      <c r="E10" s="257" t="n">
        <v>5.3</v>
      </c>
      <c r="F10" s="258" t="n">
        <f aca="false">E10*(1+F11)</f>
        <v>5.3</v>
      </c>
      <c r="G10" s="258" t="n">
        <f aca="false">F10*(1+G11)</f>
        <v>5.406</v>
      </c>
      <c r="H10" s="258" t="n">
        <f aca="false">G10*(1+H11)</f>
        <v>5.51412</v>
      </c>
      <c r="I10" s="258" t="n">
        <f aca="false">H10*(1+I11)</f>
        <v>5.6244024</v>
      </c>
      <c r="J10" s="258" t="n">
        <f aca="false">I10*(1+J11)</f>
        <v>5.736890448</v>
      </c>
      <c r="K10" s="259"/>
    </row>
    <row r="11" customFormat="false" ht="13.5" hidden="false" customHeight="true" outlineLevel="0" collapsed="false">
      <c r="B11" s="85" t="s">
        <v>124</v>
      </c>
      <c r="C11" s="252"/>
      <c r="D11" s="252"/>
      <c r="E11" s="252"/>
      <c r="F11" s="260" t="n">
        <v>0</v>
      </c>
      <c r="G11" s="260" t="n">
        <v>0.02</v>
      </c>
      <c r="H11" s="260" t="n">
        <v>0.02</v>
      </c>
      <c r="I11" s="260" t="n">
        <v>0.02</v>
      </c>
      <c r="J11" s="260" t="n">
        <v>0.02</v>
      </c>
      <c r="K11" s="261"/>
    </row>
    <row r="12" customFormat="false" ht="13.5" hidden="false" customHeight="true" outlineLevel="0" collapsed="false">
      <c r="B12" s="256"/>
      <c r="C12" s="249"/>
      <c r="D12" s="249"/>
      <c r="E12" s="249"/>
      <c r="F12" s="249"/>
      <c r="G12" s="249"/>
      <c r="H12" s="249"/>
      <c r="I12" s="249"/>
      <c r="J12" s="249"/>
      <c r="K12" s="249"/>
    </row>
    <row r="13" customFormat="false" ht="13.5" hidden="false" customHeight="true" outlineLevel="0" collapsed="false">
      <c r="B13" s="262" t="s">
        <v>125</v>
      </c>
      <c r="C13" s="263" t="n">
        <f aca="false">C7*C10</f>
        <v>1700</v>
      </c>
      <c r="D13" s="263" t="n">
        <f aca="false">D7*D10</f>
        <v>2033.2</v>
      </c>
      <c r="E13" s="263" t="n">
        <f aca="false">E7*E10</f>
        <v>2383.145</v>
      </c>
      <c r="F13" s="264" t="n">
        <f aca="false">F7*F10</f>
        <v>2502.30225</v>
      </c>
      <c r="G13" s="264" t="n">
        <f aca="false">G7*G10</f>
        <v>2935.20053925</v>
      </c>
      <c r="H13" s="264" t="n">
        <f aca="false">H7*H10</f>
        <v>3442.99023254025</v>
      </c>
      <c r="I13" s="264" t="n">
        <f aca="false">I7*I10</f>
        <v>4038.62754276971</v>
      </c>
      <c r="J13" s="264" t="n">
        <f aca="false">J7*J10</f>
        <v>4737.31010766887</v>
      </c>
      <c r="K13" s="265" t="n">
        <f aca="false">C13/$C$34</f>
        <v>0.585210021549498</v>
      </c>
      <c r="L13" s="265"/>
    </row>
    <row r="14" customFormat="false" ht="13.5" hidden="false" customHeight="true" outlineLevel="0" collapsed="false">
      <c r="B14" s="256"/>
      <c r="C14" s="249"/>
      <c r="D14" s="249"/>
      <c r="E14" s="249"/>
      <c r="F14" s="249"/>
      <c r="G14" s="249"/>
      <c r="H14" s="249"/>
      <c r="I14" s="249"/>
      <c r="J14" s="249"/>
      <c r="K14" s="265" t="n">
        <f aca="false">C14/$C$34</f>
        <v>0</v>
      </c>
    </row>
    <row r="15" customFormat="false" ht="13.5" hidden="false" customHeight="true" outlineLevel="0" collapsed="false">
      <c r="B15" s="86" t="s">
        <v>126</v>
      </c>
      <c r="C15" s="249"/>
      <c r="D15" s="249"/>
      <c r="E15" s="249"/>
      <c r="F15" s="249"/>
      <c r="G15" s="249"/>
      <c r="H15" s="249"/>
      <c r="I15" s="249"/>
      <c r="J15" s="249"/>
      <c r="K15" s="265" t="n">
        <f aca="false">C15/$C$34</f>
        <v>0</v>
      </c>
    </row>
    <row r="16" customFormat="false" ht="13.5" hidden="false" customHeight="true" outlineLevel="0" collapsed="false">
      <c r="B16" s="49" t="s">
        <v>127</v>
      </c>
      <c r="C16" s="178" t="n">
        <v>221.5838</v>
      </c>
      <c r="D16" s="178" t="n">
        <v>234.878828</v>
      </c>
      <c r="E16" s="178" t="n">
        <v>246.6227694</v>
      </c>
      <c r="F16" s="250" t="n">
        <f aca="false">E16*(1+F17)</f>
        <v>251.555224788</v>
      </c>
      <c r="G16" s="250" t="n">
        <f aca="false">F16*(1+G17)</f>
        <v>266.64853827528</v>
      </c>
      <c r="H16" s="250" t="n">
        <f aca="false">G16*(1+H17)</f>
        <v>282.647450571797</v>
      </c>
      <c r="I16" s="250" t="n">
        <f aca="false">H16*(1+I17)</f>
        <v>299.606297606105</v>
      </c>
      <c r="J16" s="250" t="n">
        <f aca="false">I16*(1+J17)</f>
        <v>317.582675462471</v>
      </c>
      <c r="K16" s="265" t="n">
        <f aca="false">C16/$C$34</f>
        <v>0.0762782708076587</v>
      </c>
    </row>
    <row r="17" customFormat="false" ht="13.5" hidden="false" customHeight="true" outlineLevel="0" collapsed="false">
      <c r="B17" s="85" t="s">
        <v>122</v>
      </c>
      <c r="C17" s="252"/>
      <c r="D17" s="253" t="n">
        <f aca="false">D16/C16-1</f>
        <v>0.0600000000000001</v>
      </c>
      <c r="E17" s="253" t="n">
        <f aca="false">E16/D16-1</f>
        <v>0.05</v>
      </c>
      <c r="F17" s="254" t="n">
        <v>0.02</v>
      </c>
      <c r="G17" s="254" t="n">
        <v>0.06</v>
      </c>
      <c r="H17" s="254" t="n">
        <v>0.06</v>
      </c>
      <c r="I17" s="254" t="n">
        <v>0.06</v>
      </c>
      <c r="J17" s="254" t="n">
        <v>0.06</v>
      </c>
      <c r="K17" s="265" t="n">
        <f aca="false">C17/$C$34</f>
        <v>0</v>
      </c>
    </row>
    <row r="18" customFormat="false" ht="13.5" hidden="false" customHeight="true" outlineLevel="0" collapsed="false">
      <c r="B18" s="256"/>
      <c r="C18" s="249"/>
      <c r="D18" s="249"/>
      <c r="E18" s="249"/>
      <c r="F18" s="249"/>
      <c r="G18" s="249"/>
      <c r="H18" s="249"/>
      <c r="I18" s="249"/>
      <c r="J18" s="249"/>
      <c r="K18" s="265" t="n">
        <f aca="false">C18/$C$34</f>
        <v>0</v>
      </c>
    </row>
    <row r="19" customFormat="false" ht="13.5" hidden="false" customHeight="true" outlineLevel="0" collapsed="false">
      <c r="B19" s="49" t="s">
        <v>128</v>
      </c>
      <c r="C19" s="257" t="n">
        <v>2</v>
      </c>
      <c r="D19" s="257" t="n">
        <v>2.1</v>
      </c>
      <c r="E19" s="257" t="n">
        <v>2.2</v>
      </c>
      <c r="F19" s="258" t="n">
        <f aca="false">E19*(1+F20)</f>
        <v>2.2</v>
      </c>
      <c r="G19" s="258" t="n">
        <f aca="false">F19*(1+G20)</f>
        <v>2.31</v>
      </c>
      <c r="H19" s="258" t="n">
        <f aca="false">G19*(1+H20)</f>
        <v>2.4255</v>
      </c>
      <c r="I19" s="258" t="n">
        <f aca="false">H19*(1+I20)</f>
        <v>2.546775</v>
      </c>
      <c r="J19" s="258" t="n">
        <f aca="false">I19*(1+J20)</f>
        <v>2.67411375</v>
      </c>
      <c r="K19" s="265" t="n">
        <f aca="false">C19/$C$34</f>
        <v>0.000688482378293528</v>
      </c>
    </row>
    <row r="20" customFormat="false" ht="13.5" hidden="false" customHeight="true" outlineLevel="0" collapsed="false">
      <c r="B20" s="85" t="s">
        <v>122</v>
      </c>
      <c r="C20" s="252"/>
      <c r="D20" s="253" t="n">
        <f aca="false">D19/C19-1</f>
        <v>0.05</v>
      </c>
      <c r="E20" s="253" t="n">
        <f aca="false">E19/D19-1</f>
        <v>0.0476190476190477</v>
      </c>
      <c r="F20" s="254" t="n">
        <v>0</v>
      </c>
      <c r="G20" s="254" t="n">
        <v>0.05</v>
      </c>
      <c r="H20" s="254" t="n">
        <v>0.05</v>
      </c>
      <c r="I20" s="254" t="n">
        <v>0.05</v>
      </c>
      <c r="J20" s="254" t="n">
        <v>0.05</v>
      </c>
      <c r="K20" s="265" t="n">
        <f aca="false">C20/$C$34</f>
        <v>0</v>
      </c>
    </row>
    <row r="21" customFormat="false" ht="13.5" hidden="false" customHeight="true" outlineLevel="0" collapsed="false">
      <c r="B21" s="256"/>
      <c r="C21" s="249"/>
      <c r="D21" s="249"/>
      <c r="E21" s="249"/>
      <c r="F21" s="249"/>
      <c r="G21" s="249"/>
      <c r="H21" s="249"/>
      <c r="I21" s="249"/>
      <c r="J21" s="249"/>
      <c r="K21" s="265" t="n">
        <f aca="false">C21/$C$34</f>
        <v>0</v>
      </c>
    </row>
    <row r="22" customFormat="false" ht="13.5" hidden="false" customHeight="true" outlineLevel="0" collapsed="false">
      <c r="B22" s="262" t="s">
        <v>129</v>
      </c>
      <c r="C22" s="263" t="n">
        <f aca="false">C16*C19</f>
        <v>443.1676</v>
      </c>
      <c r="D22" s="263" t="n">
        <f aca="false">D16*D19</f>
        <v>493.2455388</v>
      </c>
      <c r="E22" s="263" t="n">
        <f aca="false">E16*E19</f>
        <v>542.57009268</v>
      </c>
      <c r="F22" s="264" t="n">
        <f aca="false">F16*F19</f>
        <v>553.4214945336</v>
      </c>
      <c r="G22" s="264" t="n">
        <f aca="false">G16*G19</f>
        <v>615.958123415897</v>
      </c>
      <c r="H22" s="264" t="n">
        <f aca="false">H16*H19</f>
        <v>685.561391361894</v>
      </c>
      <c r="I22" s="264" t="n">
        <f aca="false">I16*I19</f>
        <v>763.029828585788</v>
      </c>
      <c r="J22" s="264" t="n">
        <f aca="false">J16*J19</f>
        <v>849.252199215982</v>
      </c>
      <c r="K22" s="265" t="n">
        <f aca="false">C22/$C$34</f>
        <v>0.152556541615317</v>
      </c>
      <c r="L22" s="265"/>
    </row>
    <row r="23" customFormat="false" ht="13.5" hidden="false" customHeight="true" outlineLevel="0" collapsed="false">
      <c r="B23" s="256"/>
      <c r="C23" s="249"/>
      <c r="D23" s="249"/>
      <c r="E23" s="249"/>
      <c r="F23" s="249"/>
      <c r="G23" s="249"/>
      <c r="H23" s="249"/>
      <c r="I23" s="249"/>
      <c r="J23" s="249"/>
      <c r="K23" s="265" t="n">
        <f aca="false">C23/$C$34</f>
        <v>0</v>
      </c>
    </row>
    <row r="24" customFormat="false" ht="13.5" hidden="false" customHeight="true" outlineLevel="0" collapsed="false">
      <c r="B24" s="256"/>
      <c r="C24" s="249"/>
      <c r="D24" s="249"/>
      <c r="E24" s="249"/>
      <c r="F24" s="249"/>
      <c r="G24" s="249"/>
      <c r="H24" s="249"/>
      <c r="I24" s="249"/>
      <c r="J24" s="249"/>
      <c r="K24" s="265" t="n">
        <f aca="false">C24/$C$34</f>
        <v>0</v>
      </c>
    </row>
    <row r="25" customFormat="false" ht="13.5" hidden="false" customHeight="true" outlineLevel="0" collapsed="false">
      <c r="B25" s="86" t="s">
        <v>130</v>
      </c>
      <c r="C25" s="249"/>
      <c r="D25" s="249"/>
      <c r="E25" s="249"/>
      <c r="F25" s="249"/>
      <c r="G25" s="249"/>
      <c r="H25" s="249"/>
      <c r="I25" s="249"/>
      <c r="J25" s="249"/>
      <c r="K25" s="265" t="n">
        <f aca="false">C25/$C$34</f>
        <v>0</v>
      </c>
    </row>
    <row r="26" customFormat="false" ht="13.5" hidden="false" customHeight="true" outlineLevel="0" collapsed="false">
      <c r="B26" s="49" t="s">
        <v>131</v>
      </c>
      <c r="C26" s="178" t="n">
        <v>76.17724</v>
      </c>
      <c r="D26" s="178" t="n">
        <v>80.141315</v>
      </c>
      <c r="E26" s="178" t="n">
        <v>86.103742</v>
      </c>
      <c r="F26" s="250" t="n">
        <f aca="false">E26*(1+F27)</f>
        <v>88.68685426</v>
      </c>
      <c r="G26" s="250" t="n">
        <f aca="false">F26*(1+G27)</f>
        <v>94.8949340582</v>
      </c>
      <c r="H26" s="250" t="n">
        <f aca="false">G26*(1+H27)</f>
        <v>101.537579442274</v>
      </c>
      <c r="I26" s="250" t="n">
        <f aca="false">H26*(1+I27)</f>
        <v>108.645210003233</v>
      </c>
      <c r="J26" s="250" t="n">
        <f aca="false">I26*(1+J27)</f>
        <v>116.25037470346</v>
      </c>
      <c r="K26" s="265" t="n">
        <f aca="false">C26/$C$34</f>
        <v>0.0262233436835184</v>
      </c>
    </row>
    <row r="27" customFormat="false" ht="13.5" hidden="false" customHeight="true" outlineLevel="0" collapsed="false">
      <c r="B27" s="85" t="s">
        <v>122</v>
      </c>
      <c r="C27" s="252"/>
      <c r="D27" s="252"/>
      <c r="E27" s="252"/>
      <c r="F27" s="254" t="n">
        <v>0.03</v>
      </c>
      <c r="G27" s="254" t="n">
        <v>0.07</v>
      </c>
      <c r="H27" s="254" t="n">
        <v>0.07</v>
      </c>
      <c r="I27" s="254" t="n">
        <v>0.07</v>
      </c>
      <c r="J27" s="254" t="n">
        <v>0.07</v>
      </c>
      <c r="K27" s="265" t="n">
        <f aca="false">C27/$C$34</f>
        <v>0</v>
      </c>
    </row>
    <row r="28" customFormat="false" ht="13.5" hidden="false" customHeight="true" outlineLevel="0" collapsed="false">
      <c r="B28" s="256"/>
      <c r="C28" s="249"/>
      <c r="D28" s="249"/>
      <c r="E28" s="249"/>
      <c r="F28" s="249"/>
      <c r="G28" s="249"/>
      <c r="H28" s="249"/>
      <c r="I28" s="249"/>
      <c r="J28" s="249"/>
      <c r="K28" s="265" t="n">
        <f aca="false">C28/$C$34</f>
        <v>0</v>
      </c>
    </row>
    <row r="29" customFormat="false" ht="13.5" hidden="false" customHeight="true" outlineLevel="0" collapsed="false">
      <c r="B29" s="49" t="s">
        <v>132</v>
      </c>
      <c r="C29" s="257" t="n">
        <v>10</v>
      </c>
      <c r="D29" s="257" t="n">
        <v>11</v>
      </c>
      <c r="E29" s="257" t="n">
        <v>12</v>
      </c>
      <c r="F29" s="258" t="n">
        <f aca="false">E29*(1+F30)</f>
        <v>12</v>
      </c>
      <c r="G29" s="258" t="n">
        <f aca="false">F29*(1+G30)</f>
        <v>13.2</v>
      </c>
      <c r="H29" s="258" t="n">
        <f aca="false">G29*(1+H30)</f>
        <v>14.52</v>
      </c>
      <c r="I29" s="258" t="n">
        <f aca="false">H29*(1+I30)</f>
        <v>15.972</v>
      </c>
      <c r="J29" s="258" t="n">
        <f aca="false">I29*(1+J30)</f>
        <v>17.5692</v>
      </c>
      <c r="K29" s="265" t="n">
        <f aca="false">C29/$C$34</f>
        <v>0.00344241189146764</v>
      </c>
    </row>
    <row r="30" customFormat="false" ht="13.5" hidden="false" customHeight="true" outlineLevel="0" collapsed="false">
      <c r="B30" s="85" t="s">
        <v>122</v>
      </c>
      <c r="C30" s="252"/>
      <c r="D30" s="252"/>
      <c r="E30" s="252"/>
      <c r="F30" s="260" t="n">
        <v>0</v>
      </c>
      <c r="G30" s="260" t="n">
        <v>0.1</v>
      </c>
      <c r="H30" s="260" t="n">
        <v>0.1</v>
      </c>
      <c r="I30" s="260" t="n">
        <v>0.1</v>
      </c>
      <c r="J30" s="260" t="n">
        <v>0.1</v>
      </c>
      <c r="K30" s="265" t="n">
        <f aca="false">C30/$C$34</f>
        <v>0</v>
      </c>
    </row>
    <row r="31" customFormat="false" ht="13.5" hidden="false" customHeight="true" outlineLevel="0" collapsed="false">
      <c r="B31" s="256"/>
      <c r="C31" s="249"/>
      <c r="D31" s="249"/>
      <c r="E31" s="249"/>
      <c r="F31" s="249"/>
      <c r="G31" s="249"/>
      <c r="H31" s="249"/>
      <c r="I31" s="249"/>
      <c r="J31" s="249"/>
      <c r="K31" s="265" t="n">
        <f aca="false">C31/$C$34</f>
        <v>0</v>
      </c>
    </row>
    <row r="32" customFormat="false" ht="13.5" hidden="false" customHeight="true" outlineLevel="0" collapsed="false">
      <c r="B32" s="262" t="s">
        <v>133</v>
      </c>
      <c r="C32" s="263" t="n">
        <f aca="false">C26*C29</f>
        <v>761.7724</v>
      </c>
      <c r="D32" s="263" t="n">
        <f aca="false">D26*D29</f>
        <v>881.554465</v>
      </c>
      <c r="E32" s="263" t="n">
        <f aca="false">E26*E29</f>
        <v>1033.244904</v>
      </c>
      <c r="F32" s="264" t="n">
        <f aca="false">F26*F29</f>
        <v>1064.24225112</v>
      </c>
      <c r="G32" s="264" t="n">
        <f aca="false">G26*G29</f>
        <v>1252.61312956824</v>
      </c>
      <c r="H32" s="264" t="n">
        <f aca="false">H26*H29</f>
        <v>1474.32565350182</v>
      </c>
      <c r="I32" s="264" t="n">
        <f aca="false">I26*I29</f>
        <v>1735.28129417164</v>
      </c>
      <c r="J32" s="264" t="n">
        <f aca="false">J26*J29</f>
        <v>2042.42608324002</v>
      </c>
      <c r="K32" s="265" t="n">
        <f aca="false">C32/$C$34</f>
        <v>0.262233436835184</v>
      </c>
      <c r="L32" s="265"/>
    </row>
    <row r="33" customFormat="false" ht="13.5" hidden="false" customHeight="true" outlineLevel="0" collapsed="false">
      <c r="B33" s="256"/>
      <c r="C33" s="249"/>
      <c r="D33" s="249"/>
      <c r="E33" s="249"/>
      <c r="F33" s="249"/>
      <c r="G33" s="249"/>
      <c r="H33" s="249"/>
      <c r="I33" s="249"/>
      <c r="J33" s="249"/>
      <c r="K33" s="249"/>
    </row>
    <row r="34" s="99" customFormat="true" ht="13.5" hidden="false" customHeight="true" outlineLevel="0" collapsed="false">
      <c r="A34" s="1"/>
      <c r="B34" s="266" t="s">
        <v>134</v>
      </c>
      <c r="C34" s="267" t="n">
        <f aca="false">C32+C22+C13</f>
        <v>2904.94</v>
      </c>
      <c r="D34" s="267" t="n">
        <f aca="false">D32+D22+D13</f>
        <v>3408.0000038</v>
      </c>
      <c r="E34" s="267" t="n">
        <f aca="false">E32+E22+E13</f>
        <v>3958.95999668</v>
      </c>
      <c r="F34" s="267" t="n">
        <f aca="false">F32+F22+F13</f>
        <v>4119.9659956536</v>
      </c>
      <c r="G34" s="267" t="n">
        <f aca="false">G32+G22+G13</f>
        <v>4803.77179223414</v>
      </c>
      <c r="H34" s="267" t="n">
        <f aca="false">H32+H22+H13</f>
        <v>5602.87727740396</v>
      </c>
      <c r="I34" s="267" t="n">
        <f aca="false">I32+I22+I13</f>
        <v>6536.93866552714</v>
      </c>
      <c r="J34" s="267" t="n">
        <f aca="false">J32+J22+J13</f>
        <v>7628.98839012488</v>
      </c>
      <c r="K34" s="268"/>
    </row>
    <row r="35" customFormat="false" ht="13.5" hidden="false" customHeight="true" outlineLevel="0" collapsed="false">
      <c r="B35" s="256"/>
      <c r="C35" s="269"/>
      <c r="D35" s="269"/>
      <c r="E35" s="269"/>
      <c r="F35" s="269"/>
      <c r="G35" s="269"/>
      <c r="H35" s="269"/>
      <c r="I35" s="269"/>
      <c r="J35" s="269"/>
      <c r="K35" s="269"/>
      <c r="L35" s="249"/>
    </row>
    <row r="36" customFormat="false" ht="13.5" hidden="false" customHeight="true" outlineLevel="0" collapsed="false">
      <c r="B36" s="256"/>
      <c r="C36" s="249"/>
      <c r="D36" s="249"/>
      <c r="E36" s="249"/>
      <c r="F36" s="249"/>
      <c r="G36" s="249"/>
      <c r="H36" s="249"/>
      <c r="I36" s="249"/>
      <c r="J36" s="249"/>
      <c r="K36" s="249"/>
      <c r="L36" s="249"/>
    </row>
    <row r="37" customFormat="false" ht="13.5" hidden="false" customHeight="true" outlineLevel="0" collapsed="false">
      <c r="B37" s="256"/>
      <c r="C37" s="249"/>
      <c r="D37" s="249"/>
      <c r="E37" s="249"/>
      <c r="F37" s="249"/>
      <c r="G37" s="249"/>
      <c r="H37" s="249"/>
      <c r="I37" s="249"/>
      <c r="J37" s="249"/>
      <c r="K37" s="249"/>
      <c r="L37" s="249"/>
    </row>
    <row r="38" customFormat="false" ht="13.5" hidden="false" customHeight="true" outlineLevel="0" collapsed="false">
      <c r="B38" s="256"/>
      <c r="C38" s="249"/>
      <c r="D38" s="249"/>
      <c r="E38" s="249"/>
      <c r="F38" s="249"/>
      <c r="G38" s="249"/>
      <c r="H38" s="249"/>
      <c r="I38" s="249"/>
      <c r="J38" s="249"/>
      <c r="K38" s="249"/>
      <c r="L38" s="249"/>
    </row>
    <row r="39" customFormat="false" ht="13.5" hidden="false" customHeight="true" outlineLevel="0" collapsed="false">
      <c r="B39" s="266" t="s">
        <v>135</v>
      </c>
      <c r="C39" s="270"/>
      <c r="D39" s="270"/>
      <c r="E39" s="270"/>
      <c r="F39" s="270"/>
      <c r="G39" s="270"/>
      <c r="H39" s="270"/>
      <c r="I39" s="270"/>
      <c r="J39" s="270"/>
      <c r="K39" s="249"/>
      <c r="L39" s="249"/>
    </row>
    <row r="40" customFormat="false" ht="13.5" hidden="false" customHeight="true" outlineLevel="0" collapsed="false">
      <c r="B40" s="271" t="s">
        <v>136</v>
      </c>
      <c r="C40" s="249"/>
      <c r="D40" s="249"/>
      <c r="E40" s="249"/>
      <c r="F40" s="249"/>
      <c r="G40" s="249"/>
      <c r="H40" s="249"/>
      <c r="I40" s="249"/>
      <c r="J40" s="249"/>
      <c r="K40" s="249"/>
      <c r="L40" s="249"/>
    </row>
    <row r="41" customFormat="false" ht="13.5" hidden="false" customHeight="true" outlineLevel="0" collapsed="false">
      <c r="B41" s="49" t="s">
        <v>137</v>
      </c>
      <c r="C41" s="257" t="n">
        <v>799</v>
      </c>
      <c r="D41" s="257" t="n">
        <v>975.936</v>
      </c>
      <c r="E41" s="257" t="n">
        <v>1239.2354</v>
      </c>
      <c r="F41" s="258" t="n">
        <f aca="false">F13*F42</f>
        <v>1376.2662375</v>
      </c>
      <c r="G41" s="258" t="n">
        <f aca="false">G13*G42</f>
        <v>1614.3602965875</v>
      </c>
      <c r="H41" s="258" t="n">
        <f aca="false">H13*H42</f>
        <v>1893.64462789714</v>
      </c>
      <c r="I41" s="258" t="n">
        <f aca="false">I13*I42</f>
        <v>2221.24514852334</v>
      </c>
      <c r="J41" s="258" t="n">
        <f aca="false">J13*J42</f>
        <v>2605.52055921788</v>
      </c>
      <c r="K41" s="272"/>
    </row>
    <row r="42" customFormat="false" ht="13.5" hidden="false" customHeight="true" outlineLevel="0" collapsed="false">
      <c r="B42" s="85" t="s">
        <v>138</v>
      </c>
      <c r="C42" s="253" t="n">
        <f aca="false">C41/C13</f>
        <v>0.47</v>
      </c>
      <c r="D42" s="253" t="n">
        <f aca="false">D41/D13</f>
        <v>0.48</v>
      </c>
      <c r="E42" s="253" t="n">
        <f aca="false">E41/E13</f>
        <v>0.52</v>
      </c>
      <c r="F42" s="260" t="n">
        <v>0.55</v>
      </c>
      <c r="G42" s="260" t="n">
        <v>0.55</v>
      </c>
      <c r="H42" s="260" t="n">
        <v>0.55</v>
      </c>
      <c r="I42" s="260" t="n">
        <v>0.55</v>
      </c>
      <c r="J42" s="260" t="n">
        <v>0.55</v>
      </c>
      <c r="K42" s="273"/>
    </row>
    <row r="43" customFormat="false" ht="13.5" hidden="false" customHeight="true" outlineLevel="0" collapsed="false">
      <c r="B43" s="256"/>
      <c r="C43" s="249"/>
      <c r="D43" s="249"/>
      <c r="E43" s="249"/>
    </row>
    <row r="44" customFormat="false" ht="13.5" hidden="false" customHeight="true" outlineLevel="0" collapsed="false">
      <c r="B44" s="49" t="s">
        <v>139</v>
      </c>
      <c r="C44" s="178" t="n">
        <v>257.037208</v>
      </c>
      <c r="D44" s="178" t="n">
        <v>295.94732328</v>
      </c>
      <c r="E44" s="178" t="n">
        <v>339.106307925</v>
      </c>
      <c r="F44" s="258" t="n">
        <f aca="false">F22*F45</f>
        <v>359.72397144684</v>
      </c>
      <c r="G44" s="258" t="n">
        <f aca="false">G22*G45</f>
        <v>400.372780220333</v>
      </c>
      <c r="H44" s="258" t="n">
        <f aca="false">H22*H45</f>
        <v>445.614904385231</v>
      </c>
      <c r="I44" s="258" t="n">
        <f aca="false">I22*I45</f>
        <v>495.969388580762</v>
      </c>
      <c r="J44" s="258" t="n">
        <f aca="false">J22*J45</f>
        <v>552.013929490388</v>
      </c>
      <c r="K44" s="231"/>
    </row>
    <row r="45" customFormat="false" ht="13.5" hidden="false" customHeight="true" outlineLevel="0" collapsed="false">
      <c r="B45" s="85" t="s">
        <v>138</v>
      </c>
      <c r="C45" s="253" t="n">
        <f aca="false">C44/C22</f>
        <v>0.58</v>
      </c>
      <c r="D45" s="253" t="n">
        <f aca="false">D44/D22</f>
        <v>0.6</v>
      </c>
      <c r="E45" s="253" t="n">
        <f aca="false">E44/E22</f>
        <v>0.625</v>
      </c>
      <c r="F45" s="260" t="n">
        <v>0.65</v>
      </c>
      <c r="G45" s="260" t="n">
        <v>0.65</v>
      </c>
      <c r="H45" s="260" t="n">
        <v>0.65</v>
      </c>
      <c r="I45" s="260" t="n">
        <v>0.65</v>
      </c>
      <c r="J45" s="260" t="n">
        <v>0.65</v>
      </c>
      <c r="K45" s="273"/>
    </row>
    <row r="46" customFormat="false" ht="13.5" hidden="false" customHeight="true" outlineLevel="0" collapsed="false">
      <c r="B46" s="256"/>
      <c r="C46" s="249"/>
      <c r="D46" s="249"/>
      <c r="E46" s="249"/>
    </row>
    <row r="47" customFormat="false" ht="13.5" hidden="false" customHeight="true" outlineLevel="0" collapsed="false">
      <c r="B47" s="49" t="s">
        <v>140</v>
      </c>
      <c r="C47" s="257" t="n">
        <v>438.7994184</v>
      </c>
      <c r="D47" s="257" t="n">
        <v>594.241281373</v>
      </c>
      <c r="E47" s="257" t="n">
        <v>731.3854656122</v>
      </c>
      <c r="F47" s="258" t="n">
        <f aca="false">F32*F48</f>
        <v>766.2544208064</v>
      </c>
      <c r="G47" s="258" t="n">
        <f aca="false">G32*G48</f>
        <v>901.881453289133</v>
      </c>
      <c r="H47" s="258" t="n">
        <f aca="false">H32*H48</f>
        <v>1061.51447052131</v>
      </c>
      <c r="I47" s="258" t="n">
        <f aca="false">I32*I48</f>
        <v>1249.40253180358</v>
      </c>
      <c r="J47" s="258" t="n">
        <f aca="false">J32*J48</f>
        <v>1470.54677993282</v>
      </c>
    </row>
    <row r="48" customFormat="false" ht="13.5" hidden="false" customHeight="true" outlineLevel="0" collapsed="false">
      <c r="B48" s="85" t="s">
        <v>138</v>
      </c>
      <c r="C48" s="253" t="n">
        <f aca="false">C47/C32</f>
        <v>0.576024306472642</v>
      </c>
      <c r="D48" s="253" t="n">
        <f aca="false">D47/D32</f>
        <v>0.67408345708169</v>
      </c>
      <c r="E48" s="253" t="n">
        <f aca="false">E47/E32</f>
        <v>0.707852961849401</v>
      </c>
      <c r="F48" s="260" t="n">
        <v>0.72</v>
      </c>
      <c r="G48" s="260" t="n">
        <v>0.72</v>
      </c>
      <c r="H48" s="260" t="n">
        <v>0.72</v>
      </c>
      <c r="I48" s="260" t="n">
        <v>0.72</v>
      </c>
      <c r="J48" s="260" t="n">
        <v>0.72</v>
      </c>
      <c r="K48" s="273"/>
    </row>
    <row r="49" customFormat="false" ht="13.5" hidden="false" customHeight="true" outlineLevel="0" collapsed="false">
      <c r="B49" s="256"/>
      <c r="C49" s="249"/>
      <c r="D49" s="249"/>
      <c r="E49" s="249"/>
    </row>
    <row r="50" customFormat="false" ht="13.5" hidden="false" customHeight="true" outlineLevel="0" collapsed="false">
      <c r="B50" s="266" t="s">
        <v>141</v>
      </c>
      <c r="C50" s="267" t="n">
        <f aca="false">C47+C44+C41</f>
        <v>1494.8366264</v>
      </c>
      <c r="D50" s="267" t="n">
        <f aca="false">D47+D44+D41</f>
        <v>1866.124604653</v>
      </c>
      <c r="E50" s="267" t="n">
        <f aca="false">E47+E44+E41</f>
        <v>2309.7271735372</v>
      </c>
      <c r="F50" s="267" t="n">
        <f aca="false">F47+F44+F41</f>
        <v>2502.24462975324</v>
      </c>
      <c r="G50" s="267" t="n">
        <f aca="false">G47+G44+G41</f>
        <v>2916.61453009697</v>
      </c>
      <c r="H50" s="267" t="n">
        <f aca="false">H47+H44+H41</f>
        <v>3400.77400280368</v>
      </c>
      <c r="I50" s="267" t="n">
        <f aca="false">I47+I44+I41</f>
        <v>3966.61706890769</v>
      </c>
      <c r="J50" s="267" t="n">
        <f aca="false">J47+J44+J41</f>
        <v>4628.08126864108</v>
      </c>
    </row>
    <row r="51" customFormat="false" ht="13.5" hidden="false" customHeight="true" outlineLevel="0" collapsed="false">
      <c r="B51" s="256"/>
      <c r="C51" s="274" t="n">
        <v>1494.8366264</v>
      </c>
      <c r="D51" s="274" t="n">
        <v>1866.124604653</v>
      </c>
      <c r="E51" s="274" t="n">
        <v>2309.7271735372</v>
      </c>
    </row>
    <row r="52" customFormat="false" ht="13.5" hidden="false" customHeight="true" outlineLevel="0" collapsed="false">
      <c r="C52" s="275"/>
      <c r="D52" s="275"/>
      <c r="E52" s="275"/>
      <c r="F52" s="275"/>
      <c r="G52" s="275"/>
      <c r="H52" s="275"/>
      <c r="I52" s="275"/>
      <c r="J52" s="275"/>
    </row>
    <row r="53" customFormat="false" ht="13.5" hidden="false" customHeight="true" outlineLevel="0" collapsed="false">
      <c r="C53" s="275"/>
      <c r="D53" s="275"/>
      <c r="E53" s="275"/>
      <c r="F53" s="275"/>
      <c r="G53" s="275"/>
      <c r="H53" s="275"/>
      <c r="I53" s="275"/>
      <c r="J53" s="275"/>
    </row>
    <row r="54" customFormat="false" ht="13.5" hidden="false" customHeight="true" outlineLevel="0" collapsed="false">
      <c r="B54" s="266" t="s">
        <v>142</v>
      </c>
      <c r="C54" s="270"/>
      <c r="D54" s="270"/>
      <c r="E54" s="270"/>
      <c r="F54" s="270"/>
      <c r="G54" s="270"/>
      <c r="H54" s="270"/>
      <c r="I54" s="270"/>
      <c r="J54" s="270"/>
      <c r="K54" s="249"/>
      <c r="L54" s="249"/>
    </row>
    <row r="55" customFormat="false" ht="13.5" hidden="false" customHeight="true" outlineLevel="0" collapsed="false">
      <c r="C55" s="275"/>
      <c r="D55" s="275"/>
      <c r="E55" s="275"/>
      <c r="F55" s="275"/>
      <c r="G55" s="275"/>
      <c r="H55" s="275"/>
      <c r="I55" s="275"/>
      <c r="J55" s="275"/>
    </row>
    <row r="56" customFormat="false" ht="13.5" hidden="false" customHeight="true" outlineLevel="0" collapsed="false">
      <c r="B56" s="49" t="s">
        <v>137</v>
      </c>
      <c r="C56" s="257" t="n">
        <v>187</v>
      </c>
      <c r="D56" s="257" t="n">
        <v>227.7184</v>
      </c>
      <c r="E56" s="257" t="n">
        <v>262.14595</v>
      </c>
      <c r="F56" s="258" t="n">
        <f aca="false">F13*F57</f>
        <v>275.2532475</v>
      </c>
      <c r="G56" s="258" t="n">
        <f aca="false">G13*G57</f>
        <v>322.8720593175</v>
      </c>
      <c r="H56" s="258" t="n">
        <f aca="false">H13*H57</f>
        <v>378.728925579428</v>
      </c>
      <c r="I56" s="258" t="n">
        <f aca="false">I13*I57</f>
        <v>444.249029704668</v>
      </c>
      <c r="J56" s="258" t="n">
        <f aca="false">J13*J57</f>
        <v>521.104111843576</v>
      </c>
    </row>
    <row r="57" customFormat="false" ht="13.5" hidden="false" customHeight="true" outlineLevel="0" collapsed="false">
      <c r="B57" s="85" t="s">
        <v>143</v>
      </c>
      <c r="C57" s="253" t="n">
        <f aca="false">C56/$C$34</f>
        <v>0.0643731023704448</v>
      </c>
      <c r="D57" s="253" t="n">
        <f aca="false">D56/D34</f>
        <v>0.0668187792682185</v>
      </c>
      <c r="E57" s="253" t="n">
        <f aca="false">E56/E34</f>
        <v>0.0662158623021796</v>
      </c>
      <c r="F57" s="260" t="n">
        <v>0.11</v>
      </c>
      <c r="G57" s="260" t="n">
        <v>0.11</v>
      </c>
      <c r="H57" s="260" t="n">
        <v>0.11</v>
      </c>
      <c r="I57" s="260" t="n">
        <v>0.11</v>
      </c>
      <c r="J57" s="260" t="n">
        <v>0.11</v>
      </c>
    </row>
    <row r="58" customFormat="false" ht="13.5" hidden="false" customHeight="true" outlineLevel="0" collapsed="false">
      <c r="B58" s="256"/>
      <c r="C58" s="249"/>
      <c r="D58" s="249"/>
      <c r="E58" s="249"/>
    </row>
    <row r="59" customFormat="false" ht="13.5" hidden="false" customHeight="true" outlineLevel="0" collapsed="false">
      <c r="B59" s="49" t="s">
        <v>139</v>
      </c>
      <c r="C59" s="178" t="n">
        <v>41.9653100000001</v>
      </c>
      <c r="D59" s="178" t="n">
        <v>63.5978088500001</v>
      </c>
      <c r="E59" s="178" t="n">
        <v>61.93216152</v>
      </c>
      <c r="F59" s="258" t="n">
        <f aca="false">F22*F60</f>
        <v>60.876364398696</v>
      </c>
      <c r="G59" s="258" t="n">
        <f aca="false">G22*G60</f>
        <v>67.7553935757487</v>
      </c>
      <c r="H59" s="258" t="n">
        <f aca="false">H22*H60</f>
        <v>75.4117530498083</v>
      </c>
      <c r="I59" s="258" t="n">
        <f aca="false">I22*I60</f>
        <v>83.9332811444366</v>
      </c>
      <c r="J59" s="258" t="n">
        <f aca="false">J22*J60</f>
        <v>93.417741913758</v>
      </c>
    </row>
    <row r="60" customFormat="false" ht="13.5" hidden="false" customHeight="true" outlineLevel="0" collapsed="false">
      <c r="B60" s="85" t="s">
        <v>144</v>
      </c>
      <c r="C60" s="253" t="n">
        <f aca="false">C59/$C$34</f>
        <v>0.0144461882173126</v>
      </c>
      <c r="D60" s="253" t="n">
        <f aca="false">D59/$C$34</f>
        <v>0.0218929853456526</v>
      </c>
      <c r="E60" s="253" t="n">
        <f aca="false">E59/$C$34</f>
        <v>0.0213196009280742</v>
      </c>
      <c r="F60" s="260" t="n">
        <v>0.11</v>
      </c>
      <c r="G60" s="260" t="n">
        <v>0.11</v>
      </c>
      <c r="H60" s="260" t="n">
        <v>0.11</v>
      </c>
      <c r="I60" s="260" t="n">
        <v>0.11</v>
      </c>
      <c r="J60" s="260" t="n">
        <v>0.11</v>
      </c>
    </row>
    <row r="61" customFormat="false" ht="13.5" hidden="false" customHeight="true" outlineLevel="0" collapsed="false">
      <c r="B61" s="256"/>
      <c r="C61" s="249"/>
      <c r="D61" s="249"/>
      <c r="E61" s="249"/>
    </row>
    <row r="62" customFormat="false" ht="13.5" hidden="false" customHeight="true" outlineLevel="0" collapsed="false">
      <c r="B62" s="49" t="s">
        <v>140</v>
      </c>
      <c r="C62" s="257" t="n">
        <v>76.17724</v>
      </c>
      <c r="D62" s="257" t="n">
        <v>96.97099115</v>
      </c>
      <c r="E62" s="257" t="n">
        <v>123.98938848</v>
      </c>
      <c r="F62" s="258" t="n">
        <f aca="false">F32*F63</f>
        <v>127.7090701344</v>
      </c>
      <c r="G62" s="258" t="n">
        <f aca="false">G32*G63</f>
        <v>150.313575548189</v>
      </c>
      <c r="H62" s="258" t="n">
        <f aca="false">H32*H63</f>
        <v>176.919078420218</v>
      </c>
      <c r="I62" s="258" t="n">
        <f aca="false">I32*I63</f>
        <v>208.233755300597</v>
      </c>
      <c r="J62" s="258" t="n">
        <f aca="false">J32*J63</f>
        <v>245.091129988803</v>
      </c>
    </row>
    <row r="63" customFormat="false" ht="13.5" hidden="false" customHeight="true" outlineLevel="0" collapsed="false">
      <c r="B63" s="85" t="s">
        <v>145</v>
      </c>
      <c r="C63" s="253" t="n">
        <f aca="false">C62/$C$34</f>
        <v>0.0262233436835184</v>
      </c>
      <c r="D63" s="253" t="n">
        <f aca="false">D62/$C$34</f>
        <v>0.0333814093062163</v>
      </c>
      <c r="E63" s="253" t="n">
        <f aca="false">E62/$C$34</f>
        <v>0.0426822545319353</v>
      </c>
      <c r="F63" s="260" t="n">
        <v>0.12</v>
      </c>
      <c r="G63" s="260" t="n">
        <v>0.12</v>
      </c>
      <c r="H63" s="260" t="n">
        <v>0.12</v>
      </c>
      <c r="I63" s="260" t="n">
        <v>0.12</v>
      </c>
      <c r="J63" s="260" t="n">
        <v>0.12</v>
      </c>
    </row>
    <row r="64" customFormat="false" ht="13.5" hidden="false" customHeight="true" outlineLevel="0" collapsed="false">
      <c r="B64" s="256"/>
      <c r="C64" s="249"/>
      <c r="D64" s="249"/>
      <c r="E64" s="249"/>
    </row>
    <row r="65" customFormat="false" ht="13.5" hidden="false" customHeight="true" outlineLevel="0" collapsed="false">
      <c r="B65" s="266" t="s">
        <v>146</v>
      </c>
      <c r="C65" s="267" t="n">
        <f aca="false">C62+C59+C56</f>
        <v>305.14255</v>
      </c>
      <c r="D65" s="267" t="n">
        <f aca="false">D62+D59+D56</f>
        <v>388.2872</v>
      </c>
      <c r="E65" s="267" t="n">
        <f aca="false">E62+E59+E56</f>
        <v>448.0675</v>
      </c>
      <c r="F65" s="267" t="n">
        <f aca="false">F62+F59+F56</f>
        <v>463.838682033096</v>
      </c>
      <c r="G65" s="267" t="n">
        <f aca="false">G62+G59+G56</f>
        <v>540.941028441438</v>
      </c>
      <c r="H65" s="267" t="n">
        <f aca="false">H62+H59+H56</f>
        <v>631.059757049454</v>
      </c>
      <c r="I65" s="267" t="n">
        <f aca="false">I62+I59+I56</f>
        <v>736.416066149702</v>
      </c>
      <c r="J65" s="267" t="n">
        <f aca="false">J62+J59+J56</f>
        <v>859.612983746137</v>
      </c>
    </row>
    <row r="66" customFormat="false" ht="13.5" hidden="false" customHeight="true" outlineLevel="0" collapsed="false">
      <c r="C66" s="265"/>
      <c r="D66" s="265"/>
      <c r="E66" s="265"/>
    </row>
  </sheetData>
  <mergeCells count="2">
    <mergeCell ref="C3:E3"/>
    <mergeCell ref="F3:J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21"/>
    <pageSetUpPr fitToPage="false"/>
  </sheetPr>
  <dimension ref="A1:K65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pane xSplit="2" ySplit="4" topLeftCell="C16" activePane="bottomRight" state="frozen"/>
      <selection pane="topLeft" activeCell="A1" activeCellId="0" sqref="A1"/>
      <selection pane="topRight" activeCell="C1" activeCellId="0" sqref="C1"/>
      <selection pane="bottomLeft" activeCell="A16" activeCellId="0" sqref="A16"/>
      <selection pane="bottomRight" activeCell="F18" activeCellId="0" sqref="F18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34"/>
    <col collapsed="false" customWidth="true" hidden="false" outlineLevel="0" max="3" min="3" style="2" width="12.11"/>
    <col collapsed="false" customWidth="true" hidden="false" outlineLevel="0" max="4" min="4" style="2" width="24.11"/>
    <col collapsed="false" customWidth="true" hidden="false" outlineLevel="0" max="5" min="5" style="2" width="12.11"/>
    <col collapsed="false" customWidth="true" hidden="false" outlineLevel="0" max="10" min="6" style="2" width="13"/>
    <col collapsed="false" customWidth="false" hidden="false" outlineLevel="0" max="254" min="11" style="2" width="9.11"/>
    <col collapsed="false" customWidth="true" hidden="false" outlineLevel="0" max="255" min="255" style="2" width="2.44"/>
    <col collapsed="false" customWidth="true" hidden="false" outlineLevel="0" max="256" min="256" style="2" width="37.56"/>
    <col collapsed="false" customWidth="true" hidden="false" outlineLevel="0" max="258" min="257" style="2" width="9.56"/>
    <col collapsed="false" customWidth="true" hidden="false" outlineLevel="0" max="259" min="259" style="2" width="13.11"/>
    <col collapsed="false" customWidth="true" hidden="false" outlineLevel="0" max="265" min="260" style="2" width="9.67"/>
    <col collapsed="false" customWidth="true" hidden="false" outlineLevel="0" max="266" min="266" style="2" width="9.56"/>
    <col collapsed="false" customWidth="false" hidden="false" outlineLevel="0" max="510" min="267" style="2" width="9.11"/>
    <col collapsed="false" customWidth="true" hidden="false" outlineLevel="0" max="511" min="511" style="2" width="2.44"/>
    <col collapsed="false" customWidth="true" hidden="false" outlineLevel="0" max="512" min="512" style="2" width="37.56"/>
    <col collapsed="false" customWidth="true" hidden="false" outlineLevel="0" max="514" min="513" style="2" width="9.56"/>
    <col collapsed="false" customWidth="true" hidden="false" outlineLevel="0" max="515" min="515" style="2" width="13.11"/>
    <col collapsed="false" customWidth="true" hidden="false" outlineLevel="0" max="521" min="516" style="2" width="9.67"/>
    <col collapsed="false" customWidth="true" hidden="false" outlineLevel="0" max="522" min="522" style="2" width="9.56"/>
    <col collapsed="false" customWidth="false" hidden="false" outlineLevel="0" max="766" min="523" style="2" width="9.11"/>
    <col collapsed="false" customWidth="true" hidden="false" outlineLevel="0" max="767" min="767" style="2" width="2.44"/>
    <col collapsed="false" customWidth="true" hidden="false" outlineLevel="0" max="768" min="768" style="2" width="37.56"/>
    <col collapsed="false" customWidth="true" hidden="false" outlineLevel="0" max="770" min="769" style="2" width="9.56"/>
    <col collapsed="false" customWidth="true" hidden="false" outlineLevel="0" max="771" min="771" style="2" width="13.11"/>
    <col collapsed="false" customWidth="true" hidden="false" outlineLevel="0" max="777" min="772" style="2" width="9.67"/>
    <col collapsed="false" customWidth="true" hidden="false" outlineLevel="0" max="778" min="778" style="2" width="9.56"/>
    <col collapsed="false" customWidth="false" hidden="false" outlineLevel="0" max="1022" min="779" style="2" width="9.11"/>
    <col collapsed="false" customWidth="true" hidden="false" outlineLevel="0" max="1023" min="1023" style="2" width="2.44"/>
    <col collapsed="false" customWidth="true" hidden="false" outlineLevel="0" max="1024" min="1024" style="2" width="37.56"/>
    <col collapsed="false" customWidth="true" hidden="false" outlineLevel="0" max="1026" min="1025" style="2" width="9.56"/>
    <col collapsed="false" customWidth="true" hidden="false" outlineLevel="0" max="1027" min="1027" style="2" width="13.11"/>
    <col collapsed="false" customWidth="true" hidden="false" outlineLevel="0" max="1033" min="1028" style="2" width="9.67"/>
    <col collapsed="false" customWidth="true" hidden="false" outlineLevel="0" max="1034" min="1034" style="2" width="9.56"/>
    <col collapsed="false" customWidth="false" hidden="false" outlineLevel="0" max="1278" min="1035" style="2" width="9.11"/>
    <col collapsed="false" customWidth="true" hidden="false" outlineLevel="0" max="1279" min="1279" style="2" width="2.44"/>
    <col collapsed="false" customWidth="true" hidden="false" outlineLevel="0" max="1280" min="1280" style="2" width="37.56"/>
    <col collapsed="false" customWidth="true" hidden="false" outlineLevel="0" max="1282" min="1281" style="2" width="9.56"/>
    <col collapsed="false" customWidth="true" hidden="false" outlineLevel="0" max="1283" min="1283" style="2" width="13.11"/>
    <col collapsed="false" customWidth="true" hidden="false" outlineLevel="0" max="1289" min="1284" style="2" width="9.67"/>
    <col collapsed="false" customWidth="true" hidden="false" outlineLevel="0" max="1290" min="1290" style="2" width="9.56"/>
    <col collapsed="false" customWidth="false" hidden="false" outlineLevel="0" max="1534" min="1291" style="2" width="9.11"/>
    <col collapsed="false" customWidth="true" hidden="false" outlineLevel="0" max="1535" min="1535" style="2" width="2.44"/>
    <col collapsed="false" customWidth="true" hidden="false" outlineLevel="0" max="1536" min="1536" style="2" width="37.56"/>
    <col collapsed="false" customWidth="true" hidden="false" outlineLevel="0" max="1538" min="1537" style="2" width="9.56"/>
    <col collapsed="false" customWidth="true" hidden="false" outlineLevel="0" max="1539" min="1539" style="2" width="13.11"/>
    <col collapsed="false" customWidth="true" hidden="false" outlineLevel="0" max="1545" min="1540" style="2" width="9.67"/>
    <col collapsed="false" customWidth="true" hidden="false" outlineLevel="0" max="1546" min="1546" style="2" width="9.56"/>
    <col collapsed="false" customWidth="false" hidden="false" outlineLevel="0" max="1790" min="1547" style="2" width="9.11"/>
    <col collapsed="false" customWidth="true" hidden="false" outlineLevel="0" max="1791" min="1791" style="2" width="2.44"/>
    <col collapsed="false" customWidth="true" hidden="false" outlineLevel="0" max="1792" min="1792" style="2" width="37.56"/>
    <col collapsed="false" customWidth="true" hidden="false" outlineLevel="0" max="1794" min="1793" style="2" width="9.56"/>
    <col collapsed="false" customWidth="true" hidden="false" outlineLevel="0" max="1795" min="1795" style="2" width="13.11"/>
    <col collapsed="false" customWidth="true" hidden="false" outlineLevel="0" max="1801" min="1796" style="2" width="9.67"/>
    <col collapsed="false" customWidth="true" hidden="false" outlineLevel="0" max="1802" min="1802" style="2" width="9.56"/>
    <col collapsed="false" customWidth="false" hidden="false" outlineLevel="0" max="2046" min="1803" style="2" width="9.11"/>
    <col collapsed="false" customWidth="true" hidden="false" outlineLevel="0" max="2047" min="2047" style="2" width="2.44"/>
    <col collapsed="false" customWidth="true" hidden="false" outlineLevel="0" max="2048" min="2048" style="2" width="37.56"/>
    <col collapsed="false" customWidth="true" hidden="false" outlineLevel="0" max="2050" min="2049" style="2" width="9.56"/>
    <col collapsed="false" customWidth="true" hidden="false" outlineLevel="0" max="2051" min="2051" style="2" width="13.11"/>
    <col collapsed="false" customWidth="true" hidden="false" outlineLevel="0" max="2057" min="2052" style="2" width="9.67"/>
    <col collapsed="false" customWidth="true" hidden="false" outlineLevel="0" max="2058" min="2058" style="2" width="9.56"/>
    <col collapsed="false" customWidth="false" hidden="false" outlineLevel="0" max="2302" min="2059" style="2" width="9.11"/>
    <col collapsed="false" customWidth="true" hidden="false" outlineLevel="0" max="2303" min="2303" style="2" width="2.44"/>
    <col collapsed="false" customWidth="true" hidden="false" outlineLevel="0" max="2304" min="2304" style="2" width="37.56"/>
    <col collapsed="false" customWidth="true" hidden="false" outlineLevel="0" max="2306" min="2305" style="2" width="9.56"/>
    <col collapsed="false" customWidth="true" hidden="false" outlineLevel="0" max="2307" min="2307" style="2" width="13.11"/>
    <col collapsed="false" customWidth="true" hidden="false" outlineLevel="0" max="2313" min="2308" style="2" width="9.67"/>
    <col collapsed="false" customWidth="true" hidden="false" outlineLevel="0" max="2314" min="2314" style="2" width="9.56"/>
    <col collapsed="false" customWidth="false" hidden="false" outlineLevel="0" max="2558" min="2315" style="2" width="9.11"/>
    <col collapsed="false" customWidth="true" hidden="false" outlineLevel="0" max="2559" min="2559" style="2" width="2.44"/>
    <col collapsed="false" customWidth="true" hidden="false" outlineLevel="0" max="2560" min="2560" style="2" width="37.56"/>
    <col collapsed="false" customWidth="true" hidden="false" outlineLevel="0" max="2562" min="2561" style="2" width="9.56"/>
    <col collapsed="false" customWidth="true" hidden="false" outlineLevel="0" max="2563" min="2563" style="2" width="13.11"/>
    <col collapsed="false" customWidth="true" hidden="false" outlineLevel="0" max="2569" min="2564" style="2" width="9.67"/>
    <col collapsed="false" customWidth="true" hidden="false" outlineLevel="0" max="2570" min="2570" style="2" width="9.56"/>
    <col collapsed="false" customWidth="false" hidden="false" outlineLevel="0" max="2814" min="2571" style="2" width="9.11"/>
    <col collapsed="false" customWidth="true" hidden="false" outlineLevel="0" max="2815" min="2815" style="2" width="2.44"/>
    <col collapsed="false" customWidth="true" hidden="false" outlineLevel="0" max="2816" min="2816" style="2" width="37.56"/>
    <col collapsed="false" customWidth="true" hidden="false" outlineLevel="0" max="2818" min="2817" style="2" width="9.56"/>
    <col collapsed="false" customWidth="true" hidden="false" outlineLevel="0" max="2819" min="2819" style="2" width="13.11"/>
    <col collapsed="false" customWidth="true" hidden="false" outlineLevel="0" max="2825" min="2820" style="2" width="9.67"/>
    <col collapsed="false" customWidth="true" hidden="false" outlineLevel="0" max="2826" min="2826" style="2" width="9.56"/>
    <col collapsed="false" customWidth="false" hidden="false" outlineLevel="0" max="3070" min="2827" style="2" width="9.11"/>
    <col collapsed="false" customWidth="true" hidden="false" outlineLevel="0" max="3071" min="3071" style="2" width="2.44"/>
    <col collapsed="false" customWidth="true" hidden="false" outlineLevel="0" max="3072" min="3072" style="2" width="37.56"/>
    <col collapsed="false" customWidth="true" hidden="false" outlineLevel="0" max="3074" min="3073" style="2" width="9.56"/>
    <col collapsed="false" customWidth="true" hidden="false" outlineLevel="0" max="3075" min="3075" style="2" width="13.11"/>
    <col collapsed="false" customWidth="true" hidden="false" outlineLevel="0" max="3081" min="3076" style="2" width="9.67"/>
    <col collapsed="false" customWidth="true" hidden="false" outlineLevel="0" max="3082" min="3082" style="2" width="9.56"/>
    <col collapsed="false" customWidth="false" hidden="false" outlineLevel="0" max="3326" min="3083" style="2" width="9.11"/>
    <col collapsed="false" customWidth="true" hidden="false" outlineLevel="0" max="3327" min="3327" style="2" width="2.44"/>
    <col collapsed="false" customWidth="true" hidden="false" outlineLevel="0" max="3328" min="3328" style="2" width="37.56"/>
    <col collapsed="false" customWidth="true" hidden="false" outlineLevel="0" max="3330" min="3329" style="2" width="9.56"/>
    <col collapsed="false" customWidth="true" hidden="false" outlineLevel="0" max="3331" min="3331" style="2" width="13.11"/>
    <col collapsed="false" customWidth="true" hidden="false" outlineLevel="0" max="3337" min="3332" style="2" width="9.67"/>
    <col collapsed="false" customWidth="true" hidden="false" outlineLevel="0" max="3338" min="3338" style="2" width="9.56"/>
    <col collapsed="false" customWidth="false" hidden="false" outlineLevel="0" max="3582" min="3339" style="2" width="9.11"/>
    <col collapsed="false" customWidth="true" hidden="false" outlineLevel="0" max="3583" min="3583" style="2" width="2.44"/>
    <col collapsed="false" customWidth="true" hidden="false" outlineLevel="0" max="3584" min="3584" style="2" width="37.56"/>
    <col collapsed="false" customWidth="true" hidden="false" outlineLevel="0" max="3586" min="3585" style="2" width="9.56"/>
    <col collapsed="false" customWidth="true" hidden="false" outlineLevel="0" max="3587" min="3587" style="2" width="13.11"/>
    <col collapsed="false" customWidth="true" hidden="false" outlineLevel="0" max="3593" min="3588" style="2" width="9.67"/>
    <col collapsed="false" customWidth="true" hidden="false" outlineLevel="0" max="3594" min="3594" style="2" width="9.56"/>
    <col collapsed="false" customWidth="false" hidden="false" outlineLevel="0" max="3838" min="3595" style="2" width="9.11"/>
    <col collapsed="false" customWidth="true" hidden="false" outlineLevel="0" max="3839" min="3839" style="2" width="2.44"/>
    <col collapsed="false" customWidth="true" hidden="false" outlineLevel="0" max="3840" min="3840" style="2" width="37.56"/>
    <col collapsed="false" customWidth="true" hidden="false" outlineLevel="0" max="3842" min="3841" style="2" width="9.56"/>
    <col collapsed="false" customWidth="true" hidden="false" outlineLevel="0" max="3843" min="3843" style="2" width="13.11"/>
    <col collapsed="false" customWidth="true" hidden="false" outlineLevel="0" max="3849" min="3844" style="2" width="9.67"/>
    <col collapsed="false" customWidth="true" hidden="false" outlineLevel="0" max="3850" min="3850" style="2" width="9.56"/>
    <col collapsed="false" customWidth="false" hidden="false" outlineLevel="0" max="4094" min="3851" style="2" width="9.11"/>
    <col collapsed="false" customWidth="true" hidden="false" outlineLevel="0" max="4095" min="4095" style="2" width="2.44"/>
    <col collapsed="false" customWidth="true" hidden="false" outlineLevel="0" max="4096" min="4096" style="2" width="37.56"/>
    <col collapsed="false" customWidth="true" hidden="false" outlineLevel="0" max="4098" min="4097" style="2" width="9.56"/>
    <col collapsed="false" customWidth="true" hidden="false" outlineLevel="0" max="4099" min="4099" style="2" width="13.11"/>
    <col collapsed="false" customWidth="true" hidden="false" outlineLevel="0" max="4105" min="4100" style="2" width="9.67"/>
    <col collapsed="false" customWidth="true" hidden="false" outlineLevel="0" max="4106" min="4106" style="2" width="9.56"/>
    <col collapsed="false" customWidth="false" hidden="false" outlineLevel="0" max="4350" min="4107" style="2" width="9.11"/>
    <col collapsed="false" customWidth="true" hidden="false" outlineLevel="0" max="4351" min="4351" style="2" width="2.44"/>
    <col collapsed="false" customWidth="true" hidden="false" outlineLevel="0" max="4352" min="4352" style="2" width="37.56"/>
    <col collapsed="false" customWidth="true" hidden="false" outlineLevel="0" max="4354" min="4353" style="2" width="9.56"/>
    <col collapsed="false" customWidth="true" hidden="false" outlineLevel="0" max="4355" min="4355" style="2" width="13.11"/>
    <col collapsed="false" customWidth="true" hidden="false" outlineLevel="0" max="4361" min="4356" style="2" width="9.67"/>
    <col collapsed="false" customWidth="true" hidden="false" outlineLevel="0" max="4362" min="4362" style="2" width="9.56"/>
    <col collapsed="false" customWidth="false" hidden="false" outlineLevel="0" max="4606" min="4363" style="2" width="9.11"/>
    <col collapsed="false" customWidth="true" hidden="false" outlineLevel="0" max="4607" min="4607" style="2" width="2.44"/>
    <col collapsed="false" customWidth="true" hidden="false" outlineLevel="0" max="4608" min="4608" style="2" width="37.56"/>
    <col collapsed="false" customWidth="true" hidden="false" outlineLevel="0" max="4610" min="4609" style="2" width="9.56"/>
    <col collapsed="false" customWidth="true" hidden="false" outlineLevel="0" max="4611" min="4611" style="2" width="13.11"/>
    <col collapsed="false" customWidth="true" hidden="false" outlineLevel="0" max="4617" min="4612" style="2" width="9.67"/>
    <col collapsed="false" customWidth="true" hidden="false" outlineLevel="0" max="4618" min="4618" style="2" width="9.56"/>
    <col collapsed="false" customWidth="false" hidden="false" outlineLevel="0" max="4862" min="4619" style="2" width="9.11"/>
    <col collapsed="false" customWidth="true" hidden="false" outlineLevel="0" max="4863" min="4863" style="2" width="2.44"/>
    <col collapsed="false" customWidth="true" hidden="false" outlineLevel="0" max="4864" min="4864" style="2" width="37.56"/>
    <col collapsed="false" customWidth="true" hidden="false" outlineLevel="0" max="4866" min="4865" style="2" width="9.56"/>
    <col collapsed="false" customWidth="true" hidden="false" outlineLevel="0" max="4867" min="4867" style="2" width="13.11"/>
    <col collapsed="false" customWidth="true" hidden="false" outlineLevel="0" max="4873" min="4868" style="2" width="9.67"/>
    <col collapsed="false" customWidth="true" hidden="false" outlineLevel="0" max="4874" min="4874" style="2" width="9.56"/>
    <col collapsed="false" customWidth="false" hidden="false" outlineLevel="0" max="5118" min="4875" style="2" width="9.11"/>
    <col collapsed="false" customWidth="true" hidden="false" outlineLevel="0" max="5119" min="5119" style="2" width="2.44"/>
    <col collapsed="false" customWidth="true" hidden="false" outlineLevel="0" max="5120" min="5120" style="2" width="37.56"/>
    <col collapsed="false" customWidth="true" hidden="false" outlineLevel="0" max="5122" min="5121" style="2" width="9.56"/>
    <col collapsed="false" customWidth="true" hidden="false" outlineLevel="0" max="5123" min="5123" style="2" width="13.11"/>
    <col collapsed="false" customWidth="true" hidden="false" outlineLevel="0" max="5129" min="5124" style="2" width="9.67"/>
    <col collapsed="false" customWidth="true" hidden="false" outlineLevel="0" max="5130" min="5130" style="2" width="9.56"/>
    <col collapsed="false" customWidth="false" hidden="false" outlineLevel="0" max="5374" min="5131" style="2" width="9.11"/>
    <col collapsed="false" customWidth="true" hidden="false" outlineLevel="0" max="5375" min="5375" style="2" width="2.44"/>
    <col collapsed="false" customWidth="true" hidden="false" outlineLevel="0" max="5376" min="5376" style="2" width="37.56"/>
    <col collapsed="false" customWidth="true" hidden="false" outlineLevel="0" max="5378" min="5377" style="2" width="9.56"/>
    <col collapsed="false" customWidth="true" hidden="false" outlineLevel="0" max="5379" min="5379" style="2" width="13.11"/>
    <col collapsed="false" customWidth="true" hidden="false" outlineLevel="0" max="5385" min="5380" style="2" width="9.67"/>
    <col collapsed="false" customWidth="true" hidden="false" outlineLevel="0" max="5386" min="5386" style="2" width="9.56"/>
    <col collapsed="false" customWidth="false" hidden="false" outlineLevel="0" max="5630" min="5387" style="2" width="9.11"/>
    <col collapsed="false" customWidth="true" hidden="false" outlineLevel="0" max="5631" min="5631" style="2" width="2.44"/>
    <col collapsed="false" customWidth="true" hidden="false" outlineLevel="0" max="5632" min="5632" style="2" width="37.56"/>
    <col collapsed="false" customWidth="true" hidden="false" outlineLevel="0" max="5634" min="5633" style="2" width="9.56"/>
    <col collapsed="false" customWidth="true" hidden="false" outlineLevel="0" max="5635" min="5635" style="2" width="13.11"/>
    <col collapsed="false" customWidth="true" hidden="false" outlineLevel="0" max="5641" min="5636" style="2" width="9.67"/>
    <col collapsed="false" customWidth="true" hidden="false" outlineLevel="0" max="5642" min="5642" style="2" width="9.56"/>
    <col collapsed="false" customWidth="false" hidden="false" outlineLevel="0" max="5886" min="5643" style="2" width="9.11"/>
    <col collapsed="false" customWidth="true" hidden="false" outlineLevel="0" max="5887" min="5887" style="2" width="2.44"/>
    <col collapsed="false" customWidth="true" hidden="false" outlineLevel="0" max="5888" min="5888" style="2" width="37.56"/>
    <col collapsed="false" customWidth="true" hidden="false" outlineLevel="0" max="5890" min="5889" style="2" width="9.56"/>
    <col collapsed="false" customWidth="true" hidden="false" outlineLevel="0" max="5891" min="5891" style="2" width="13.11"/>
    <col collapsed="false" customWidth="true" hidden="false" outlineLevel="0" max="5897" min="5892" style="2" width="9.67"/>
    <col collapsed="false" customWidth="true" hidden="false" outlineLevel="0" max="5898" min="5898" style="2" width="9.56"/>
    <col collapsed="false" customWidth="false" hidden="false" outlineLevel="0" max="6142" min="5899" style="2" width="9.11"/>
    <col collapsed="false" customWidth="true" hidden="false" outlineLevel="0" max="6143" min="6143" style="2" width="2.44"/>
    <col collapsed="false" customWidth="true" hidden="false" outlineLevel="0" max="6144" min="6144" style="2" width="37.56"/>
    <col collapsed="false" customWidth="true" hidden="false" outlineLevel="0" max="6146" min="6145" style="2" width="9.56"/>
    <col collapsed="false" customWidth="true" hidden="false" outlineLevel="0" max="6147" min="6147" style="2" width="13.11"/>
    <col collapsed="false" customWidth="true" hidden="false" outlineLevel="0" max="6153" min="6148" style="2" width="9.67"/>
    <col collapsed="false" customWidth="true" hidden="false" outlineLevel="0" max="6154" min="6154" style="2" width="9.56"/>
    <col collapsed="false" customWidth="false" hidden="false" outlineLevel="0" max="6398" min="6155" style="2" width="9.11"/>
    <col collapsed="false" customWidth="true" hidden="false" outlineLevel="0" max="6399" min="6399" style="2" width="2.44"/>
    <col collapsed="false" customWidth="true" hidden="false" outlineLevel="0" max="6400" min="6400" style="2" width="37.56"/>
    <col collapsed="false" customWidth="true" hidden="false" outlineLevel="0" max="6402" min="6401" style="2" width="9.56"/>
    <col collapsed="false" customWidth="true" hidden="false" outlineLevel="0" max="6403" min="6403" style="2" width="13.11"/>
    <col collapsed="false" customWidth="true" hidden="false" outlineLevel="0" max="6409" min="6404" style="2" width="9.67"/>
    <col collapsed="false" customWidth="true" hidden="false" outlineLevel="0" max="6410" min="6410" style="2" width="9.56"/>
    <col collapsed="false" customWidth="false" hidden="false" outlineLevel="0" max="6654" min="6411" style="2" width="9.11"/>
    <col collapsed="false" customWidth="true" hidden="false" outlineLevel="0" max="6655" min="6655" style="2" width="2.44"/>
    <col collapsed="false" customWidth="true" hidden="false" outlineLevel="0" max="6656" min="6656" style="2" width="37.56"/>
    <col collapsed="false" customWidth="true" hidden="false" outlineLevel="0" max="6658" min="6657" style="2" width="9.56"/>
    <col collapsed="false" customWidth="true" hidden="false" outlineLevel="0" max="6659" min="6659" style="2" width="13.11"/>
    <col collapsed="false" customWidth="true" hidden="false" outlineLevel="0" max="6665" min="6660" style="2" width="9.67"/>
    <col collapsed="false" customWidth="true" hidden="false" outlineLevel="0" max="6666" min="6666" style="2" width="9.56"/>
    <col collapsed="false" customWidth="false" hidden="false" outlineLevel="0" max="6910" min="6667" style="2" width="9.11"/>
    <col collapsed="false" customWidth="true" hidden="false" outlineLevel="0" max="6911" min="6911" style="2" width="2.44"/>
    <col collapsed="false" customWidth="true" hidden="false" outlineLevel="0" max="6912" min="6912" style="2" width="37.56"/>
    <col collapsed="false" customWidth="true" hidden="false" outlineLevel="0" max="6914" min="6913" style="2" width="9.56"/>
    <col collapsed="false" customWidth="true" hidden="false" outlineLevel="0" max="6915" min="6915" style="2" width="13.11"/>
    <col collapsed="false" customWidth="true" hidden="false" outlineLevel="0" max="6921" min="6916" style="2" width="9.67"/>
    <col collapsed="false" customWidth="true" hidden="false" outlineLevel="0" max="6922" min="6922" style="2" width="9.56"/>
    <col collapsed="false" customWidth="false" hidden="false" outlineLevel="0" max="7166" min="6923" style="2" width="9.11"/>
    <col collapsed="false" customWidth="true" hidden="false" outlineLevel="0" max="7167" min="7167" style="2" width="2.44"/>
    <col collapsed="false" customWidth="true" hidden="false" outlineLevel="0" max="7168" min="7168" style="2" width="37.56"/>
    <col collapsed="false" customWidth="true" hidden="false" outlineLevel="0" max="7170" min="7169" style="2" width="9.56"/>
    <col collapsed="false" customWidth="true" hidden="false" outlineLevel="0" max="7171" min="7171" style="2" width="13.11"/>
    <col collapsed="false" customWidth="true" hidden="false" outlineLevel="0" max="7177" min="7172" style="2" width="9.67"/>
    <col collapsed="false" customWidth="true" hidden="false" outlineLevel="0" max="7178" min="7178" style="2" width="9.56"/>
    <col collapsed="false" customWidth="false" hidden="false" outlineLevel="0" max="7422" min="7179" style="2" width="9.11"/>
    <col collapsed="false" customWidth="true" hidden="false" outlineLevel="0" max="7423" min="7423" style="2" width="2.44"/>
    <col collapsed="false" customWidth="true" hidden="false" outlineLevel="0" max="7424" min="7424" style="2" width="37.56"/>
    <col collapsed="false" customWidth="true" hidden="false" outlineLevel="0" max="7426" min="7425" style="2" width="9.56"/>
    <col collapsed="false" customWidth="true" hidden="false" outlineLevel="0" max="7427" min="7427" style="2" width="13.11"/>
    <col collapsed="false" customWidth="true" hidden="false" outlineLevel="0" max="7433" min="7428" style="2" width="9.67"/>
    <col collapsed="false" customWidth="true" hidden="false" outlineLevel="0" max="7434" min="7434" style="2" width="9.56"/>
    <col collapsed="false" customWidth="false" hidden="false" outlineLevel="0" max="7678" min="7435" style="2" width="9.11"/>
    <col collapsed="false" customWidth="true" hidden="false" outlineLevel="0" max="7679" min="7679" style="2" width="2.44"/>
    <col collapsed="false" customWidth="true" hidden="false" outlineLevel="0" max="7680" min="7680" style="2" width="37.56"/>
    <col collapsed="false" customWidth="true" hidden="false" outlineLevel="0" max="7682" min="7681" style="2" width="9.56"/>
    <col collapsed="false" customWidth="true" hidden="false" outlineLevel="0" max="7683" min="7683" style="2" width="13.11"/>
    <col collapsed="false" customWidth="true" hidden="false" outlineLevel="0" max="7689" min="7684" style="2" width="9.67"/>
    <col collapsed="false" customWidth="true" hidden="false" outlineLevel="0" max="7690" min="7690" style="2" width="9.56"/>
    <col collapsed="false" customWidth="false" hidden="false" outlineLevel="0" max="7934" min="7691" style="2" width="9.11"/>
    <col collapsed="false" customWidth="true" hidden="false" outlineLevel="0" max="7935" min="7935" style="2" width="2.44"/>
    <col collapsed="false" customWidth="true" hidden="false" outlineLevel="0" max="7936" min="7936" style="2" width="37.56"/>
    <col collapsed="false" customWidth="true" hidden="false" outlineLevel="0" max="7938" min="7937" style="2" width="9.56"/>
    <col collapsed="false" customWidth="true" hidden="false" outlineLevel="0" max="7939" min="7939" style="2" width="13.11"/>
    <col collapsed="false" customWidth="true" hidden="false" outlineLevel="0" max="7945" min="7940" style="2" width="9.67"/>
    <col collapsed="false" customWidth="true" hidden="false" outlineLevel="0" max="7946" min="7946" style="2" width="9.56"/>
    <col collapsed="false" customWidth="false" hidden="false" outlineLevel="0" max="8190" min="7947" style="2" width="9.11"/>
    <col collapsed="false" customWidth="true" hidden="false" outlineLevel="0" max="8191" min="8191" style="2" width="2.44"/>
    <col collapsed="false" customWidth="true" hidden="false" outlineLevel="0" max="8192" min="8192" style="2" width="37.56"/>
    <col collapsed="false" customWidth="true" hidden="false" outlineLevel="0" max="8194" min="8193" style="2" width="9.56"/>
    <col collapsed="false" customWidth="true" hidden="false" outlineLevel="0" max="8195" min="8195" style="2" width="13.11"/>
    <col collapsed="false" customWidth="true" hidden="false" outlineLevel="0" max="8201" min="8196" style="2" width="9.67"/>
    <col collapsed="false" customWidth="true" hidden="false" outlineLevel="0" max="8202" min="8202" style="2" width="9.56"/>
    <col collapsed="false" customWidth="false" hidden="false" outlineLevel="0" max="8446" min="8203" style="2" width="9.11"/>
    <col collapsed="false" customWidth="true" hidden="false" outlineLevel="0" max="8447" min="8447" style="2" width="2.44"/>
    <col collapsed="false" customWidth="true" hidden="false" outlineLevel="0" max="8448" min="8448" style="2" width="37.56"/>
    <col collapsed="false" customWidth="true" hidden="false" outlineLevel="0" max="8450" min="8449" style="2" width="9.56"/>
    <col collapsed="false" customWidth="true" hidden="false" outlineLevel="0" max="8451" min="8451" style="2" width="13.11"/>
    <col collapsed="false" customWidth="true" hidden="false" outlineLevel="0" max="8457" min="8452" style="2" width="9.67"/>
    <col collapsed="false" customWidth="true" hidden="false" outlineLevel="0" max="8458" min="8458" style="2" width="9.56"/>
    <col collapsed="false" customWidth="false" hidden="false" outlineLevel="0" max="8702" min="8459" style="2" width="9.11"/>
    <col collapsed="false" customWidth="true" hidden="false" outlineLevel="0" max="8703" min="8703" style="2" width="2.44"/>
    <col collapsed="false" customWidth="true" hidden="false" outlineLevel="0" max="8704" min="8704" style="2" width="37.56"/>
    <col collapsed="false" customWidth="true" hidden="false" outlineLevel="0" max="8706" min="8705" style="2" width="9.56"/>
    <col collapsed="false" customWidth="true" hidden="false" outlineLevel="0" max="8707" min="8707" style="2" width="13.11"/>
    <col collapsed="false" customWidth="true" hidden="false" outlineLevel="0" max="8713" min="8708" style="2" width="9.67"/>
    <col collapsed="false" customWidth="true" hidden="false" outlineLevel="0" max="8714" min="8714" style="2" width="9.56"/>
    <col collapsed="false" customWidth="false" hidden="false" outlineLevel="0" max="8958" min="8715" style="2" width="9.11"/>
    <col collapsed="false" customWidth="true" hidden="false" outlineLevel="0" max="8959" min="8959" style="2" width="2.44"/>
    <col collapsed="false" customWidth="true" hidden="false" outlineLevel="0" max="8960" min="8960" style="2" width="37.56"/>
    <col collapsed="false" customWidth="true" hidden="false" outlineLevel="0" max="8962" min="8961" style="2" width="9.56"/>
    <col collapsed="false" customWidth="true" hidden="false" outlineLevel="0" max="8963" min="8963" style="2" width="13.11"/>
    <col collapsed="false" customWidth="true" hidden="false" outlineLevel="0" max="8969" min="8964" style="2" width="9.67"/>
    <col collapsed="false" customWidth="true" hidden="false" outlineLevel="0" max="8970" min="8970" style="2" width="9.56"/>
    <col collapsed="false" customWidth="false" hidden="false" outlineLevel="0" max="9214" min="8971" style="2" width="9.11"/>
    <col collapsed="false" customWidth="true" hidden="false" outlineLevel="0" max="9215" min="9215" style="2" width="2.44"/>
    <col collapsed="false" customWidth="true" hidden="false" outlineLevel="0" max="9216" min="9216" style="2" width="37.56"/>
    <col collapsed="false" customWidth="true" hidden="false" outlineLevel="0" max="9218" min="9217" style="2" width="9.56"/>
    <col collapsed="false" customWidth="true" hidden="false" outlineLevel="0" max="9219" min="9219" style="2" width="13.11"/>
    <col collapsed="false" customWidth="true" hidden="false" outlineLevel="0" max="9225" min="9220" style="2" width="9.67"/>
    <col collapsed="false" customWidth="true" hidden="false" outlineLevel="0" max="9226" min="9226" style="2" width="9.56"/>
    <col collapsed="false" customWidth="false" hidden="false" outlineLevel="0" max="9470" min="9227" style="2" width="9.11"/>
    <col collapsed="false" customWidth="true" hidden="false" outlineLevel="0" max="9471" min="9471" style="2" width="2.44"/>
    <col collapsed="false" customWidth="true" hidden="false" outlineLevel="0" max="9472" min="9472" style="2" width="37.56"/>
    <col collapsed="false" customWidth="true" hidden="false" outlineLevel="0" max="9474" min="9473" style="2" width="9.56"/>
    <col collapsed="false" customWidth="true" hidden="false" outlineLevel="0" max="9475" min="9475" style="2" width="13.11"/>
    <col collapsed="false" customWidth="true" hidden="false" outlineLevel="0" max="9481" min="9476" style="2" width="9.67"/>
    <col collapsed="false" customWidth="true" hidden="false" outlineLevel="0" max="9482" min="9482" style="2" width="9.56"/>
    <col collapsed="false" customWidth="false" hidden="false" outlineLevel="0" max="9726" min="9483" style="2" width="9.11"/>
    <col collapsed="false" customWidth="true" hidden="false" outlineLevel="0" max="9727" min="9727" style="2" width="2.44"/>
    <col collapsed="false" customWidth="true" hidden="false" outlineLevel="0" max="9728" min="9728" style="2" width="37.56"/>
    <col collapsed="false" customWidth="true" hidden="false" outlineLevel="0" max="9730" min="9729" style="2" width="9.56"/>
    <col collapsed="false" customWidth="true" hidden="false" outlineLevel="0" max="9731" min="9731" style="2" width="13.11"/>
    <col collapsed="false" customWidth="true" hidden="false" outlineLevel="0" max="9737" min="9732" style="2" width="9.67"/>
    <col collapsed="false" customWidth="true" hidden="false" outlineLevel="0" max="9738" min="9738" style="2" width="9.56"/>
    <col collapsed="false" customWidth="false" hidden="false" outlineLevel="0" max="9982" min="9739" style="2" width="9.11"/>
    <col collapsed="false" customWidth="true" hidden="false" outlineLevel="0" max="9983" min="9983" style="2" width="2.44"/>
    <col collapsed="false" customWidth="true" hidden="false" outlineLevel="0" max="9984" min="9984" style="2" width="37.56"/>
    <col collapsed="false" customWidth="true" hidden="false" outlineLevel="0" max="9986" min="9985" style="2" width="9.56"/>
    <col collapsed="false" customWidth="true" hidden="false" outlineLevel="0" max="9987" min="9987" style="2" width="13.11"/>
    <col collapsed="false" customWidth="true" hidden="false" outlineLevel="0" max="9993" min="9988" style="2" width="9.67"/>
    <col collapsed="false" customWidth="true" hidden="false" outlineLevel="0" max="9994" min="9994" style="2" width="9.56"/>
    <col collapsed="false" customWidth="false" hidden="false" outlineLevel="0" max="10238" min="9995" style="2" width="9.11"/>
    <col collapsed="false" customWidth="true" hidden="false" outlineLevel="0" max="10239" min="10239" style="2" width="2.44"/>
    <col collapsed="false" customWidth="true" hidden="false" outlineLevel="0" max="10240" min="10240" style="2" width="37.56"/>
    <col collapsed="false" customWidth="true" hidden="false" outlineLevel="0" max="10242" min="10241" style="2" width="9.56"/>
    <col collapsed="false" customWidth="true" hidden="false" outlineLevel="0" max="10243" min="10243" style="2" width="13.11"/>
    <col collapsed="false" customWidth="true" hidden="false" outlineLevel="0" max="10249" min="10244" style="2" width="9.67"/>
    <col collapsed="false" customWidth="true" hidden="false" outlineLevel="0" max="10250" min="10250" style="2" width="9.56"/>
    <col collapsed="false" customWidth="false" hidden="false" outlineLevel="0" max="10494" min="10251" style="2" width="9.11"/>
    <col collapsed="false" customWidth="true" hidden="false" outlineLevel="0" max="10495" min="10495" style="2" width="2.44"/>
    <col collapsed="false" customWidth="true" hidden="false" outlineLevel="0" max="10496" min="10496" style="2" width="37.56"/>
    <col collapsed="false" customWidth="true" hidden="false" outlineLevel="0" max="10498" min="10497" style="2" width="9.56"/>
    <col collapsed="false" customWidth="true" hidden="false" outlineLevel="0" max="10499" min="10499" style="2" width="13.11"/>
    <col collapsed="false" customWidth="true" hidden="false" outlineLevel="0" max="10505" min="10500" style="2" width="9.67"/>
    <col collapsed="false" customWidth="true" hidden="false" outlineLevel="0" max="10506" min="10506" style="2" width="9.56"/>
    <col collapsed="false" customWidth="false" hidden="false" outlineLevel="0" max="10750" min="10507" style="2" width="9.11"/>
    <col collapsed="false" customWidth="true" hidden="false" outlineLevel="0" max="10751" min="10751" style="2" width="2.44"/>
    <col collapsed="false" customWidth="true" hidden="false" outlineLevel="0" max="10752" min="10752" style="2" width="37.56"/>
    <col collapsed="false" customWidth="true" hidden="false" outlineLevel="0" max="10754" min="10753" style="2" width="9.56"/>
    <col collapsed="false" customWidth="true" hidden="false" outlineLevel="0" max="10755" min="10755" style="2" width="13.11"/>
    <col collapsed="false" customWidth="true" hidden="false" outlineLevel="0" max="10761" min="10756" style="2" width="9.67"/>
    <col collapsed="false" customWidth="true" hidden="false" outlineLevel="0" max="10762" min="10762" style="2" width="9.56"/>
    <col collapsed="false" customWidth="false" hidden="false" outlineLevel="0" max="11006" min="10763" style="2" width="9.11"/>
    <col collapsed="false" customWidth="true" hidden="false" outlineLevel="0" max="11007" min="11007" style="2" width="2.44"/>
    <col collapsed="false" customWidth="true" hidden="false" outlineLevel="0" max="11008" min="11008" style="2" width="37.56"/>
    <col collapsed="false" customWidth="true" hidden="false" outlineLevel="0" max="11010" min="11009" style="2" width="9.56"/>
    <col collapsed="false" customWidth="true" hidden="false" outlineLevel="0" max="11011" min="11011" style="2" width="13.11"/>
    <col collapsed="false" customWidth="true" hidden="false" outlineLevel="0" max="11017" min="11012" style="2" width="9.67"/>
    <col collapsed="false" customWidth="true" hidden="false" outlineLevel="0" max="11018" min="11018" style="2" width="9.56"/>
    <col collapsed="false" customWidth="false" hidden="false" outlineLevel="0" max="11262" min="11019" style="2" width="9.11"/>
    <col collapsed="false" customWidth="true" hidden="false" outlineLevel="0" max="11263" min="11263" style="2" width="2.44"/>
    <col collapsed="false" customWidth="true" hidden="false" outlineLevel="0" max="11264" min="11264" style="2" width="37.56"/>
    <col collapsed="false" customWidth="true" hidden="false" outlineLevel="0" max="11266" min="11265" style="2" width="9.56"/>
    <col collapsed="false" customWidth="true" hidden="false" outlineLevel="0" max="11267" min="11267" style="2" width="13.11"/>
    <col collapsed="false" customWidth="true" hidden="false" outlineLevel="0" max="11273" min="11268" style="2" width="9.67"/>
    <col collapsed="false" customWidth="true" hidden="false" outlineLevel="0" max="11274" min="11274" style="2" width="9.56"/>
    <col collapsed="false" customWidth="false" hidden="false" outlineLevel="0" max="11518" min="11275" style="2" width="9.11"/>
    <col collapsed="false" customWidth="true" hidden="false" outlineLevel="0" max="11519" min="11519" style="2" width="2.44"/>
    <col collapsed="false" customWidth="true" hidden="false" outlineLevel="0" max="11520" min="11520" style="2" width="37.56"/>
    <col collapsed="false" customWidth="true" hidden="false" outlineLevel="0" max="11522" min="11521" style="2" width="9.56"/>
    <col collapsed="false" customWidth="true" hidden="false" outlineLevel="0" max="11523" min="11523" style="2" width="13.11"/>
    <col collapsed="false" customWidth="true" hidden="false" outlineLevel="0" max="11529" min="11524" style="2" width="9.67"/>
    <col collapsed="false" customWidth="true" hidden="false" outlineLevel="0" max="11530" min="11530" style="2" width="9.56"/>
    <col collapsed="false" customWidth="false" hidden="false" outlineLevel="0" max="11774" min="11531" style="2" width="9.11"/>
    <col collapsed="false" customWidth="true" hidden="false" outlineLevel="0" max="11775" min="11775" style="2" width="2.44"/>
    <col collapsed="false" customWidth="true" hidden="false" outlineLevel="0" max="11776" min="11776" style="2" width="37.56"/>
    <col collapsed="false" customWidth="true" hidden="false" outlineLevel="0" max="11778" min="11777" style="2" width="9.56"/>
    <col collapsed="false" customWidth="true" hidden="false" outlineLevel="0" max="11779" min="11779" style="2" width="13.11"/>
    <col collapsed="false" customWidth="true" hidden="false" outlineLevel="0" max="11785" min="11780" style="2" width="9.67"/>
    <col collapsed="false" customWidth="true" hidden="false" outlineLevel="0" max="11786" min="11786" style="2" width="9.56"/>
    <col collapsed="false" customWidth="false" hidden="false" outlineLevel="0" max="12030" min="11787" style="2" width="9.11"/>
    <col collapsed="false" customWidth="true" hidden="false" outlineLevel="0" max="12031" min="12031" style="2" width="2.44"/>
    <col collapsed="false" customWidth="true" hidden="false" outlineLevel="0" max="12032" min="12032" style="2" width="37.56"/>
    <col collapsed="false" customWidth="true" hidden="false" outlineLevel="0" max="12034" min="12033" style="2" width="9.56"/>
    <col collapsed="false" customWidth="true" hidden="false" outlineLevel="0" max="12035" min="12035" style="2" width="13.11"/>
    <col collapsed="false" customWidth="true" hidden="false" outlineLevel="0" max="12041" min="12036" style="2" width="9.67"/>
    <col collapsed="false" customWidth="true" hidden="false" outlineLevel="0" max="12042" min="12042" style="2" width="9.56"/>
    <col collapsed="false" customWidth="false" hidden="false" outlineLevel="0" max="12286" min="12043" style="2" width="9.11"/>
    <col collapsed="false" customWidth="true" hidden="false" outlineLevel="0" max="12287" min="12287" style="2" width="2.44"/>
    <col collapsed="false" customWidth="true" hidden="false" outlineLevel="0" max="12288" min="12288" style="2" width="37.56"/>
    <col collapsed="false" customWidth="true" hidden="false" outlineLevel="0" max="12290" min="12289" style="2" width="9.56"/>
    <col collapsed="false" customWidth="true" hidden="false" outlineLevel="0" max="12291" min="12291" style="2" width="13.11"/>
    <col collapsed="false" customWidth="true" hidden="false" outlineLevel="0" max="12297" min="12292" style="2" width="9.67"/>
    <col collapsed="false" customWidth="true" hidden="false" outlineLevel="0" max="12298" min="12298" style="2" width="9.56"/>
    <col collapsed="false" customWidth="false" hidden="false" outlineLevel="0" max="12542" min="12299" style="2" width="9.11"/>
    <col collapsed="false" customWidth="true" hidden="false" outlineLevel="0" max="12543" min="12543" style="2" width="2.44"/>
    <col collapsed="false" customWidth="true" hidden="false" outlineLevel="0" max="12544" min="12544" style="2" width="37.56"/>
    <col collapsed="false" customWidth="true" hidden="false" outlineLevel="0" max="12546" min="12545" style="2" width="9.56"/>
    <col collapsed="false" customWidth="true" hidden="false" outlineLevel="0" max="12547" min="12547" style="2" width="13.11"/>
    <col collapsed="false" customWidth="true" hidden="false" outlineLevel="0" max="12553" min="12548" style="2" width="9.67"/>
    <col collapsed="false" customWidth="true" hidden="false" outlineLevel="0" max="12554" min="12554" style="2" width="9.56"/>
    <col collapsed="false" customWidth="false" hidden="false" outlineLevel="0" max="12798" min="12555" style="2" width="9.11"/>
    <col collapsed="false" customWidth="true" hidden="false" outlineLevel="0" max="12799" min="12799" style="2" width="2.44"/>
    <col collapsed="false" customWidth="true" hidden="false" outlineLevel="0" max="12800" min="12800" style="2" width="37.56"/>
    <col collapsed="false" customWidth="true" hidden="false" outlineLevel="0" max="12802" min="12801" style="2" width="9.56"/>
    <col collapsed="false" customWidth="true" hidden="false" outlineLevel="0" max="12803" min="12803" style="2" width="13.11"/>
    <col collapsed="false" customWidth="true" hidden="false" outlineLevel="0" max="12809" min="12804" style="2" width="9.67"/>
    <col collapsed="false" customWidth="true" hidden="false" outlineLevel="0" max="12810" min="12810" style="2" width="9.56"/>
    <col collapsed="false" customWidth="false" hidden="false" outlineLevel="0" max="13054" min="12811" style="2" width="9.11"/>
    <col collapsed="false" customWidth="true" hidden="false" outlineLevel="0" max="13055" min="13055" style="2" width="2.44"/>
    <col collapsed="false" customWidth="true" hidden="false" outlineLevel="0" max="13056" min="13056" style="2" width="37.56"/>
    <col collapsed="false" customWidth="true" hidden="false" outlineLevel="0" max="13058" min="13057" style="2" width="9.56"/>
    <col collapsed="false" customWidth="true" hidden="false" outlineLevel="0" max="13059" min="13059" style="2" width="13.11"/>
    <col collapsed="false" customWidth="true" hidden="false" outlineLevel="0" max="13065" min="13060" style="2" width="9.67"/>
    <col collapsed="false" customWidth="true" hidden="false" outlineLevel="0" max="13066" min="13066" style="2" width="9.56"/>
    <col collapsed="false" customWidth="false" hidden="false" outlineLevel="0" max="13310" min="13067" style="2" width="9.11"/>
    <col collapsed="false" customWidth="true" hidden="false" outlineLevel="0" max="13311" min="13311" style="2" width="2.44"/>
    <col collapsed="false" customWidth="true" hidden="false" outlineLevel="0" max="13312" min="13312" style="2" width="37.56"/>
    <col collapsed="false" customWidth="true" hidden="false" outlineLevel="0" max="13314" min="13313" style="2" width="9.56"/>
    <col collapsed="false" customWidth="true" hidden="false" outlineLevel="0" max="13315" min="13315" style="2" width="13.11"/>
    <col collapsed="false" customWidth="true" hidden="false" outlineLevel="0" max="13321" min="13316" style="2" width="9.67"/>
    <col collapsed="false" customWidth="true" hidden="false" outlineLevel="0" max="13322" min="13322" style="2" width="9.56"/>
    <col collapsed="false" customWidth="false" hidden="false" outlineLevel="0" max="13566" min="13323" style="2" width="9.11"/>
    <col collapsed="false" customWidth="true" hidden="false" outlineLevel="0" max="13567" min="13567" style="2" width="2.44"/>
    <col collapsed="false" customWidth="true" hidden="false" outlineLevel="0" max="13568" min="13568" style="2" width="37.56"/>
    <col collapsed="false" customWidth="true" hidden="false" outlineLevel="0" max="13570" min="13569" style="2" width="9.56"/>
    <col collapsed="false" customWidth="true" hidden="false" outlineLevel="0" max="13571" min="13571" style="2" width="13.11"/>
    <col collapsed="false" customWidth="true" hidden="false" outlineLevel="0" max="13577" min="13572" style="2" width="9.67"/>
    <col collapsed="false" customWidth="true" hidden="false" outlineLevel="0" max="13578" min="13578" style="2" width="9.56"/>
    <col collapsed="false" customWidth="false" hidden="false" outlineLevel="0" max="13822" min="13579" style="2" width="9.11"/>
    <col collapsed="false" customWidth="true" hidden="false" outlineLevel="0" max="13823" min="13823" style="2" width="2.44"/>
    <col collapsed="false" customWidth="true" hidden="false" outlineLevel="0" max="13824" min="13824" style="2" width="37.56"/>
    <col collapsed="false" customWidth="true" hidden="false" outlineLevel="0" max="13826" min="13825" style="2" width="9.56"/>
    <col collapsed="false" customWidth="true" hidden="false" outlineLevel="0" max="13827" min="13827" style="2" width="13.11"/>
    <col collapsed="false" customWidth="true" hidden="false" outlineLevel="0" max="13833" min="13828" style="2" width="9.67"/>
    <col collapsed="false" customWidth="true" hidden="false" outlineLevel="0" max="13834" min="13834" style="2" width="9.56"/>
    <col collapsed="false" customWidth="false" hidden="false" outlineLevel="0" max="14078" min="13835" style="2" width="9.11"/>
    <col collapsed="false" customWidth="true" hidden="false" outlineLevel="0" max="14079" min="14079" style="2" width="2.44"/>
    <col collapsed="false" customWidth="true" hidden="false" outlineLevel="0" max="14080" min="14080" style="2" width="37.56"/>
    <col collapsed="false" customWidth="true" hidden="false" outlineLevel="0" max="14082" min="14081" style="2" width="9.56"/>
    <col collapsed="false" customWidth="true" hidden="false" outlineLevel="0" max="14083" min="14083" style="2" width="13.11"/>
    <col collapsed="false" customWidth="true" hidden="false" outlineLevel="0" max="14089" min="14084" style="2" width="9.67"/>
    <col collapsed="false" customWidth="true" hidden="false" outlineLevel="0" max="14090" min="14090" style="2" width="9.56"/>
    <col collapsed="false" customWidth="false" hidden="false" outlineLevel="0" max="14334" min="14091" style="2" width="9.11"/>
    <col collapsed="false" customWidth="true" hidden="false" outlineLevel="0" max="14335" min="14335" style="2" width="2.44"/>
    <col collapsed="false" customWidth="true" hidden="false" outlineLevel="0" max="14336" min="14336" style="2" width="37.56"/>
    <col collapsed="false" customWidth="true" hidden="false" outlineLevel="0" max="14338" min="14337" style="2" width="9.56"/>
    <col collapsed="false" customWidth="true" hidden="false" outlineLevel="0" max="14339" min="14339" style="2" width="13.11"/>
    <col collapsed="false" customWidth="true" hidden="false" outlineLevel="0" max="14345" min="14340" style="2" width="9.67"/>
    <col collapsed="false" customWidth="true" hidden="false" outlineLevel="0" max="14346" min="14346" style="2" width="9.56"/>
    <col collapsed="false" customWidth="false" hidden="false" outlineLevel="0" max="14590" min="14347" style="2" width="9.11"/>
    <col collapsed="false" customWidth="true" hidden="false" outlineLevel="0" max="14591" min="14591" style="2" width="2.44"/>
    <col collapsed="false" customWidth="true" hidden="false" outlineLevel="0" max="14592" min="14592" style="2" width="37.56"/>
    <col collapsed="false" customWidth="true" hidden="false" outlineLevel="0" max="14594" min="14593" style="2" width="9.56"/>
    <col collapsed="false" customWidth="true" hidden="false" outlineLevel="0" max="14595" min="14595" style="2" width="13.11"/>
    <col collapsed="false" customWidth="true" hidden="false" outlineLevel="0" max="14601" min="14596" style="2" width="9.67"/>
    <col collapsed="false" customWidth="true" hidden="false" outlineLevel="0" max="14602" min="14602" style="2" width="9.56"/>
    <col collapsed="false" customWidth="false" hidden="false" outlineLevel="0" max="14846" min="14603" style="2" width="9.11"/>
    <col collapsed="false" customWidth="true" hidden="false" outlineLevel="0" max="14847" min="14847" style="2" width="2.44"/>
    <col collapsed="false" customWidth="true" hidden="false" outlineLevel="0" max="14848" min="14848" style="2" width="37.56"/>
    <col collapsed="false" customWidth="true" hidden="false" outlineLevel="0" max="14850" min="14849" style="2" width="9.56"/>
    <col collapsed="false" customWidth="true" hidden="false" outlineLevel="0" max="14851" min="14851" style="2" width="13.11"/>
    <col collapsed="false" customWidth="true" hidden="false" outlineLevel="0" max="14857" min="14852" style="2" width="9.67"/>
    <col collapsed="false" customWidth="true" hidden="false" outlineLevel="0" max="14858" min="14858" style="2" width="9.56"/>
    <col collapsed="false" customWidth="false" hidden="false" outlineLevel="0" max="15102" min="14859" style="2" width="9.11"/>
    <col collapsed="false" customWidth="true" hidden="false" outlineLevel="0" max="15103" min="15103" style="2" width="2.44"/>
    <col collapsed="false" customWidth="true" hidden="false" outlineLevel="0" max="15104" min="15104" style="2" width="37.56"/>
    <col collapsed="false" customWidth="true" hidden="false" outlineLevel="0" max="15106" min="15105" style="2" width="9.56"/>
    <col collapsed="false" customWidth="true" hidden="false" outlineLevel="0" max="15107" min="15107" style="2" width="13.11"/>
    <col collapsed="false" customWidth="true" hidden="false" outlineLevel="0" max="15113" min="15108" style="2" width="9.67"/>
    <col collapsed="false" customWidth="true" hidden="false" outlineLevel="0" max="15114" min="15114" style="2" width="9.56"/>
    <col collapsed="false" customWidth="false" hidden="false" outlineLevel="0" max="15358" min="15115" style="2" width="9.11"/>
    <col collapsed="false" customWidth="true" hidden="false" outlineLevel="0" max="15359" min="15359" style="2" width="2.44"/>
    <col collapsed="false" customWidth="true" hidden="false" outlineLevel="0" max="15360" min="15360" style="2" width="37.56"/>
    <col collapsed="false" customWidth="true" hidden="false" outlineLevel="0" max="15362" min="15361" style="2" width="9.56"/>
    <col collapsed="false" customWidth="true" hidden="false" outlineLevel="0" max="15363" min="15363" style="2" width="13.11"/>
    <col collapsed="false" customWidth="true" hidden="false" outlineLevel="0" max="15369" min="15364" style="2" width="9.67"/>
    <col collapsed="false" customWidth="true" hidden="false" outlineLevel="0" max="15370" min="15370" style="2" width="9.56"/>
    <col collapsed="false" customWidth="false" hidden="false" outlineLevel="0" max="15614" min="15371" style="2" width="9.11"/>
    <col collapsed="false" customWidth="true" hidden="false" outlineLevel="0" max="15615" min="15615" style="2" width="2.44"/>
    <col collapsed="false" customWidth="true" hidden="false" outlineLevel="0" max="15616" min="15616" style="2" width="37.56"/>
    <col collapsed="false" customWidth="true" hidden="false" outlineLevel="0" max="15618" min="15617" style="2" width="9.56"/>
    <col collapsed="false" customWidth="true" hidden="false" outlineLevel="0" max="15619" min="15619" style="2" width="13.11"/>
    <col collapsed="false" customWidth="true" hidden="false" outlineLevel="0" max="15625" min="15620" style="2" width="9.67"/>
    <col collapsed="false" customWidth="true" hidden="false" outlineLevel="0" max="15626" min="15626" style="2" width="9.56"/>
    <col collapsed="false" customWidth="false" hidden="false" outlineLevel="0" max="15870" min="15627" style="2" width="9.11"/>
    <col collapsed="false" customWidth="true" hidden="false" outlineLevel="0" max="15871" min="15871" style="2" width="2.44"/>
    <col collapsed="false" customWidth="true" hidden="false" outlineLevel="0" max="15872" min="15872" style="2" width="37.56"/>
    <col collapsed="false" customWidth="true" hidden="false" outlineLevel="0" max="15874" min="15873" style="2" width="9.56"/>
    <col collapsed="false" customWidth="true" hidden="false" outlineLevel="0" max="15875" min="15875" style="2" width="13.11"/>
    <col collapsed="false" customWidth="true" hidden="false" outlineLevel="0" max="15881" min="15876" style="2" width="9.67"/>
    <col collapsed="false" customWidth="true" hidden="false" outlineLevel="0" max="15882" min="15882" style="2" width="9.56"/>
    <col collapsed="false" customWidth="false" hidden="false" outlineLevel="0" max="16126" min="15883" style="2" width="9.11"/>
    <col collapsed="false" customWidth="true" hidden="false" outlineLevel="0" max="16127" min="16127" style="2" width="2.44"/>
    <col collapsed="false" customWidth="true" hidden="false" outlineLevel="0" max="16128" min="16128" style="2" width="37.56"/>
    <col collapsed="false" customWidth="true" hidden="false" outlineLevel="0" max="16130" min="16129" style="2" width="9.56"/>
    <col collapsed="false" customWidth="true" hidden="false" outlineLevel="0" max="16131" min="16131" style="2" width="13.11"/>
    <col collapsed="false" customWidth="true" hidden="false" outlineLevel="0" max="16137" min="16132" style="2" width="9.67"/>
    <col collapsed="false" customWidth="true" hidden="false" outlineLevel="0" max="16138" min="16138" style="2" width="9.56"/>
    <col collapsed="false" customWidth="false" hidden="false" outlineLevel="0" max="16384" min="16139" style="2" width="9.11"/>
  </cols>
  <sheetData>
    <row r="1" customFormat="false" ht="21.75" hidden="false" customHeight="true" outlineLevel="0" collapsed="false">
      <c r="A1" s="276" t="s">
        <v>0</v>
      </c>
    </row>
    <row r="2" s="2" customFormat="true" ht="18" hidden="false" customHeight="true" outlineLevel="0" collapsed="false">
      <c r="B2" s="277" t="s">
        <v>147</v>
      </c>
      <c r="C2" s="5"/>
      <c r="D2" s="5"/>
      <c r="E2" s="5"/>
      <c r="F2" s="5"/>
      <c r="G2" s="5"/>
      <c r="H2" s="5"/>
      <c r="I2" s="5"/>
      <c r="J2" s="5"/>
    </row>
    <row r="3" s="2" customFormat="true" ht="13.5" hidden="false" customHeight="true" outlineLevel="0" collapsed="false"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</row>
    <row r="4" s="2" customFormat="true" ht="13.5" hidden="false" customHeight="true" outlineLevel="0" collapsed="false">
      <c r="B4" s="278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</row>
    <row r="5" customFormat="false" ht="13.5" hidden="false" customHeight="true" outlineLevel="0" collapsed="false">
      <c r="B5" s="142"/>
      <c r="C5" s="5"/>
      <c r="D5" s="5"/>
      <c r="E5" s="5"/>
      <c r="F5" s="5"/>
      <c r="G5" s="5"/>
      <c r="H5" s="5"/>
      <c r="I5" s="5"/>
      <c r="J5" s="5"/>
    </row>
    <row r="6" customFormat="false" ht="13.5" hidden="false" customHeight="true" outlineLevel="0" collapsed="false">
      <c r="B6" s="279" t="s">
        <v>61</v>
      </c>
      <c r="C6" s="180"/>
      <c r="D6" s="180"/>
      <c r="E6" s="180"/>
      <c r="F6" s="180"/>
      <c r="G6" s="280"/>
      <c r="H6" s="280"/>
      <c r="I6" s="280"/>
      <c r="J6" s="280"/>
    </row>
    <row r="7" customFormat="false" ht="13.5" hidden="false" customHeight="true" outlineLevel="0" collapsed="false">
      <c r="B7" s="109" t="s">
        <v>58</v>
      </c>
      <c r="C7" s="281" t="n">
        <f aca="false">'Balance Sheet'!C16</f>
        <v>30</v>
      </c>
      <c r="D7" s="281" t="n">
        <f aca="false">'Balance Sheet'!D16</f>
        <v>30</v>
      </c>
      <c r="E7" s="281" t="n">
        <f aca="false">'Balance Sheet'!E16</f>
        <v>30</v>
      </c>
      <c r="F7" s="47" t="n">
        <f aca="false">E7+F15</f>
        <v>30</v>
      </c>
      <c r="G7" s="47" t="n">
        <f aca="false">F7+G15</f>
        <v>30</v>
      </c>
      <c r="H7" s="47" t="n">
        <f aca="false">G7+H15</f>
        <v>30</v>
      </c>
      <c r="I7" s="47" t="n">
        <f aca="false">H7+I15</f>
        <v>30</v>
      </c>
      <c r="J7" s="47" t="n">
        <f aca="false">I7+J15</f>
        <v>30</v>
      </c>
    </row>
    <row r="8" customFormat="false" ht="13.5" hidden="false" customHeight="true" outlineLevel="0" collapsed="false">
      <c r="B8" s="109" t="s">
        <v>59</v>
      </c>
      <c r="C8" s="281" t="n">
        <f aca="false">'Balance Sheet'!C17</f>
        <v>630</v>
      </c>
      <c r="D8" s="281" t="n">
        <f aca="false">'Balance Sheet'!D17</f>
        <v>700</v>
      </c>
      <c r="E8" s="281" t="n">
        <f aca="false">'Balance Sheet'!E17</f>
        <v>875</v>
      </c>
      <c r="F8" s="47" t="n">
        <f aca="false">E8+F16</f>
        <v>1080.99829978268</v>
      </c>
      <c r="G8" s="47" t="n">
        <f aca="false">F8+G16</f>
        <v>1321.18688939439</v>
      </c>
      <c r="H8" s="47" t="n">
        <f aca="false">G8+H16</f>
        <v>1601.33075326459</v>
      </c>
      <c r="I8" s="47" t="n">
        <f aca="false">H8+I16</f>
        <v>1928.17768654094</v>
      </c>
      <c r="J8" s="47" t="n">
        <f aca="false">I8+J16</f>
        <v>2309.62710604719</v>
      </c>
    </row>
    <row r="9" customFormat="false" ht="13.5" hidden="false" customHeight="true" outlineLevel="0" collapsed="false">
      <c r="B9" s="109" t="s">
        <v>60</v>
      </c>
      <c r="C9" s="281" t="n">
        <f aca="false">'Balance Sheet'!C18</f>
        <v>250</v>
      </c>
      <c r="D9" s="281" t="n">
        <f aca="false">'Balance Sheet'!D18</f>
        <v>325</v>
      </c>
      <c r="E9" s="281" t="n">
        <f aca="false">'Balance Sheet'!E18</f>
        <v>400</v>
      </c>
      <c r="F9" s="47" t="n">
        <f aca="false">E9+F17</f>
        <v>482.399319913072</v>
      </c>
      <c r="G9" s="47" t="n">
        <f aca="false">F9+G17</f>
        <v>578.474755757755</v>
      </c>
      <c r="H9" s="47" t="n">
        <f aca="false">G9+H17</f>
        <v>690.532301305834</v>
      </c>
      <c r="I9" s="47" t="n">
        <f aca="false">H9+I17</f>
        <v>821.271074616377</v>
      </c>
      <c r="J9" s="47" t="n">
        <f aca="false">I9+J17</f>
        <v>973.850842418874</v>
      </c>
    </row>
    <row r="10" customFormat="false" ht="13.5" hidden="false" customHeight="true" outlineLevel="0" collapsed="false">
      <c r="B10" s="282" t="s">
        <v>148</v>
      </c>
      <c r="C10" s="113" t="n">
        <f aca="false">SUM(C7:C9)</f>
        <v>910</v>
      </c>
      <c r="D10" s="113" t="n">
        <f aca="false">SUM(D7:D9)</f>
        <v>1055</v>
      </c>
      <c r="E10" s="113" t="n">
        <f aca="false">SUM(E7:E9)</f>
        <v>1305</v>
      </c>
      <c r="F10" s="114" t="n">
        <f aca="false">SUM(F7:F9)</f>
        <v>1593.39761969575</v>
      </c>
      <c r="G10" s="114" t="n">
        <f aca="false">SUM(G7:G9)</f>
        <v>1929.66164515214</v>
      </c>
      <c r="H10" s="114" t="n">
        <f aca="false">SUM(H7:H9)</f>
        <v>2321.86305457042</v>
      </c>
      <c r="I10" s="114" t="n">
        <f aca="false">SUM(I7:I9)</f>
        <v>2779.44876115732</v>
      </c>
      <c r="J10" s="114" t="n">
        <f aca="false">SUM(J7:J9)</f>
        <v>3313.47794846606</v>
      </c>
    </row>
    <row r="11" customFormat="false" ht="13.5" hidden="false" customHeight="true" outlineLevel="0" collapsed="false">
      <c r="B11" s="109"/>
      <c r="C11" s="283"/>
      <c r="D11" s="283"/>
      <c r="E11" s="283"/>
      <c r="F11" s="139"/>
      <c r="G11" s="5"/>
      <c r="H11" s="5"/>
      <c r="I11" s="5"/>
      <c r="J11" s="5"/>
    </row>
    <row r="12" customFormat="false" ht="13.5" hidden="false" customHeight="true" outlineLevel="0" collapsed="false">
      <c r="B12" s="65" t="s">
        <v>14</v>
      </c>
      <c r="C12" s="284" t="n">
        <f aca="false">'Income Statement'!C5</f>
        <v>2904.94</v>
      </c>
      <c r="D12" s="284" t="n">
        <f aca="false">'Income Statement'!D5</f>
        <v>3408.0000038</v>
      </c>
      <c r="E12" s="284" t="n">
        <f aca="false">'Income Statement'!E5</f>
        <v>3958.95999668</v>
      </c>
      <c r="F12" s="285" t="n">
        <f aca="false">'Income Statement'!F5</f>
        <v>4119.9659956536</v>
      </c>
      <c r="G12" s="285" t="n">
        <f aca="false">'Income Statement'!G5</f>
        <v>4803.77179223414</v>
      </c>
      <c r="H12" s="285" t="n">
        <f aca="false">'Income Statement'!H5</f>
        <v>5602.87727740396</v>
      </c>
      <c r="I12" s="285" t="n">
        <f aca="false">'Income Statement'!I5</f>
        <v>6536.93866552714</v>
      </c>
      <c r="J12" s="285" t="n">
        <f aca="false">'Income Statement'!J5</f>
        <v>7628.98839012488</v>
      </c>
      <c r="K12" s="132"/>
    </row>
    <row r="13" customFormat="false" ht="13.5" hidden="false" customHeight="true" outlineLevel="0" collapsed="false">
      <c r="C13" s="286"/>
      <c r="D13" s="286"/>
      <c r="E13" s="286"/>
      <c r="F13" s="286"/>
      <c r="G13" s="286"/>
      <c r="H13" s="286"/>
      <c r="I13" s="286"/>
      <c r="J13" s="286"/>
      <c r="K13" s="132"/>
    </row>
    <row r="14" customFormat="false" ht="13.5" hidden="false" customHeight="true" outlineLevel="0" collapsed="false">
      <c r="B14" s="287" t="s">
        <v>149</v>
      </c>
      <c r="C14" s="288"/>
      <c r="D14" s="288"/>
      <c r="E14" s="288"/>
      <c r="F14" s="280"/>
      <c r="G14" s="280"/>
      <c r="H14" s="280"/>
      <c r="I14" s="280"/>
      <c r="J14" s="280"/>
    </row>
    <row r="15" customFormat="false" ht="13.5" hidden="false" customHeight="true" outlineLevel="0" collapsed="false">
      <c r="B15" s="109" t="s">
        <v>58</v>
      </c>
      <c r="C15" s="289"/>
      <c r="D15" s="290" t="n">
        <f aca="false">D7-C7</f>
        <v>0</v>
      </c>
      <c r="E15" s="290" t="n">
        <f aca="false">E7-D7</f>
        <v>0</v>
      </c>
      <c r="F15" s="291" t="n">
        <f aca="false">F12*F21</f>
        <v>0</v>
      </c>
      <c r="G15" s="291" t="n">
        <f aca="false">G12*G21</f>
        <v>0</v>
      </c>
      <c r="H15" s="291" t="n">
        <f aca="false">H12*H21</f>
        <v>0</v>
      </c>
      <c r="I15" s="291" t="n">
        <f aca="false">I12*I21</f>
        <v>0</v>
      </c>
      <c r="J15" s="291" t="n">
        <f aca="false">J12*J21</f>
        <v>0</v>
      </c>
    </row>
    <row r="16" customFormat="false" ht="13.5" hidden="false" customHeight="true" outlineLevel="0" collapsed="false">
      <c r="B16" s="109" t="s">
        <v>59</v>
      </c>
      <c r="C16" s="289"/>
      <c r="D16" s="290" t="n">
        <f aca="false">D8-C8</f>
        <v>70</v>
      </c>
      <c r="E16" s="290" t="n">
        <f aca="false">E8-D8</f>
        <v>175</v>
      </c>
      <c r="F16" s="291" t="n">
        <f aca="false">F12*F22</f>
        <v>205.99829978268</v>
      </c>
      <c r="G16" s="291" t="n">
        <f aca="false">G12*G22</f>
        <v>240.188589611707</v>
      </c>
      <c r="H16" s="291" t="n">
        <f aca="false">H12*H22</f>
        <v>280.143863870198</v>
      </c>
      <c r="I16" s="291" t="n">
        <f aca="false">I12*I22</f>
        <v>326.846933276357</v>
      </c>
      <c r="J16" s="291" t="n">
        <f aca="false">J12*J22</f>
        <v>381.449419506244</v>
      </c>
    </row>
    <row r="17" customFormat="false" ht="13.5" hidden="false" customHeight="true" outlineLevel="0" collapsed="false">
      <c r="B17" s="109" t="s">
        <v>60</v>
      </c>
      <c r="C17" s="289"/>
      <c r="D17" s="290" t="n">
        <f aca="false">D9-C9</f>
        <v>75</v>
      </c>
      <c r="E17" s="290" t="n">
        <f aca="false">E9-D9</f>
        <v>75</v>
      </c>
      <c r="F17" s="291" t="n">
        <f aca="false">F12*F23</f>
        <v>82.399319913072</v>
      </c>
      <c r="G17" s="291" t="n">
        <f aca="false">G12*G23</f>
        <v>96.0754358446827</v>
      </c>
      <c r="H17" s="291" t="n">
        <f aca="false">H12*H23</f>
        <v>112.057545548079</v>
      </c>
      <c r="I17" s="291" t="n">
        <f aca="false">I12*I23</f>
        <v>130.738773310543</v>
      </c>
      <c r="J17" s="291" t="n">
        <f aca="false">J12*J23</f>
        <v>152.579767802498</v>
      </c>
    </row>
    <row r="18" customFormat="false" ht="13.5" hidden="false" customHeight="true" outlineLevel="0" collapsed="false">
      <c r="B18" s="282" t="s">
        <v>148</v>
      </c>
      <c r="C18" s="292"/>
      <c r="D18" s="293" t="n">
        <f aca="false">SUM(D15:D17)</f>
        <v>145</v>
      </c>
      <c r="E18" s="293" t="n">
        <f aca="false">SUM(E15:E17)</f>
        <v>250</v>
      </c>
      <c r="F18" s="294" t="n">
        <f aca="false">SUM(F15:F17)</f>
        <v>288.397619695752</v>
      </c>
      <c r="G18" s="294" t="n">
        <f aca="false">SUM(G15:G17)</f>
        <v>336.26402545639</v>
      </c>
      <c r="H18" s="294" t="n">
        <f aca="false">SUM(H15:H17)</f>
        <v>392.201409418277</v>
      </c>
      <c r="I18" s="294" t="n">
        <f aca="false">SUM(I15:I17)</f>
        <v>457.5857065869</v>
      </c>
      <c r="J18" s="294" t="n">
        <f aca="false">SUM(J15:J17)</f>
        <v>534.029187308741</v>
      </c>
    </row>
    <row r="19" customFormat="false" ht="13.5" hidden="false" customHeight="true" outlineLevel="0" collapsed="false">
      <c r="B19" s="109"/>
      <c r="C19" s="289"/>
      <c r="D19" s="295"/>
      <c r="E19" s="295"/>
      <c r="F19" s="296"/>
      <c r="G19" s="296"/>
      <c r="H19" s="296"/>
      <c r="I19" s="296"/>
      <c r="J19" s="296"/>
    </row>
    <row r="20" customFormat="false" ht="13.5" hidden="false" customHeight="true" outlineLevel="0" collapsed="false">
      <c r="B20" s="297" t="s">
        <v>150</v>
      </c>
      <c r="C20" s="288"/>
      <c r="D20" s="288"/>
      <c r="E20" s="288"/>
      <c r="F20" s="280"/>
      <c r="G20" s="280"/>
      <c r="H20" s="280"/>
      <c r="I20" s="280"/>
      <c r="J20" s="280"/>
    </row>
    <row r="21" customFormat="false" ht="13.5" hidden="false" customHeight="true" outlineLevel="0" collapsed="false">
      <c r="B21" s="109" t="s">
        <v>58</v>
      </c>
      <c r="C21" s="298"/>
      <c r="D21" s="299" t="n">
        <f aca="false">D15/$D$12</f>
        <v>0</v>
      </c>
      <c r="E21" s="299" t="n">
        <f aca="false">E15/$E$12</f>
        <v>0</v>
      </c>
      <c r="F21" s="300" t="n">
        <v>0</v>
      </c>
      <c r="G21" s="300" t="n">
        <v>0</v>
      </c>
      <c r="H21" s="300" t="n">
        <v>0</v>
      </c>
      <c r="I21" s="300" t="n">
        <v>0</v>
      </c>
      <c r="J21" s="300" t="n">
        <v>0</v>
      </c>
    </row>
    <row r="22" customFormat="false" ht="13.5" hidden="false" customHeight="true" outlineLevel="0" collapsed="false">
      <c r="B22" s="109" t="s">
        <v>59</v>
      </c>
      <c r="C22" s="298"/>
      <c r="D22" s="299" t="n">
        <f aca="false">D16/$D$12</f>
        <v>0.0205399060803839</v>
      </c>
      <c r="E22" s="299" t="n">
        <f aca="false">E16/$E$12</f>
        <v>0.0442035282363943</v>
      </c>
      <c r="F22" s="300" t="n">
        <v>0.05</v>
      </c>
      <c r="G22" s="300" t="n">
        <v>0.05</v>
      </c>
      <c r="H22" s="300" t="n">
        <v>0.05</v>
      </c>
      <c r="I22" s="300" t="n">
        <v>0.05</v>
      </c>
      <c r="J22" s="300" t="n">
        <v>0.05</v>
      </c>
    </row>
    <row r="23" customFormat="false" ht="13.5" hidden="false" customHeight="true" outlineLevel="0" collapsed="false">
      <c r="B23" s="109" t="s">
        <v>60</v>
      </c>
      <c r="C23" s="298"/>
      <c r="D23" s="299" t="n">
        <f aca="false">D17/$D$12</f>
        <v>0.0220070422289828</v>
      </c>
      <c r="E23" s="299" t="n">
        <f aca="false">E17/$E$12</f>
        <v>0.018944369244169</v>
      </c>
      <c r="F23" s="300" t="n">
        <v>0.02</v>
      </c>
      <c r="G23" s="300" t="n">
        <v>0.02</v>
      </c>
      <c r="H23" s="300" t="n">
        <v>0.02</v>
      </c>
      <c r="I23" s="300" t="n">
        <v>0.02</v>
      </c>
      <c r="J23" s="300" t="n">
        <v>0.02</v>
      </c>
    </row>
    <row r="24" customFormat="false" ht="13.5" hidden="false" customHeight="true" outlineLevel="0" collapsed="false">
      <c r="B24" s="282" t="s">
        <v>61</v>
      </c>
      <c r="C24" s="301"/>
      <c r="D24" s="302"/>
      <c r="E24" s="302"/>
      <c r="F24" s="302"/>
      <c r="G24" s="302"/>
      <c r="H24" s="302"/>
      <c r="I24" s="302"/>
      <c r="J24" s="302"/>
    </row>
    <row r="25" customFormat="false" ht="13.5" hidden="false" customHeight="true" outlineLevel="0" collapsed="false">
      <c r="B25" s="142"/>
      <c r="C25" s="289"/>
      <c r="D25" s="289"/>
      <c r="E25" s="289"/>
      <c r="F25" s="5"/>
      <c r="G25" s="5"/>
      <c r="H25" s="5"/>
      <c r="I25" s="5"/>
      <c r="J25" s="5"/>
    </row>
    <row r="26" customFormat="false" ht="13.5" hidden="false" customHeight="true" outlineLevel="0" collapsed="false">
      <c r="B26" s="303" t="s">
        <v>151</v>
      </c>
      <c r="C26" s="289"/>
      <c r="D26" s="289"/>
      <c r="E26" s="289"/>
      <c r="F26" s="5"/>
      <c r="G26" s="5"/>
      <c r="H26" s="5"/>
      <c r="I26" s="5"/>
      <c r="J26" s="5"/>
    </row>
    <row r="27" customFormat="false" ht="13.5" hidden="false" customHeight="true" outlineLevel="0" collapsed="false">
      <c r="B27" s="142"/>
      <c r="C27" s="289"/>
      <c r="D27" s="289"/>
      <c r="E27" s="289"/>
      <c r="F27" s="5"/>
      <c r="G27" s="5"/>
      <c r="H27" s="5"/>
      <c r="I27" s="5"/>
      <c r="J27" s="5"/>
    </row>
    <row r="28" customFormat="false" ht="13.5" hidden="false" customHeight="true" outlineLevel="0" collapsed="false">
      <c r="B28" s="304" t="s">
        <v>152</v>
      </c>
      <c r="C28" s="279"/>
      <c r="D28" s="279"/>
      <c r="E28" s="279"/>
      <c r="F28" s="279"/>
      <c r="G28" s="279"/>
      <c r="H28" s="279"/>
      <c r="I28" s="279"/>
      <c r="J28" s="279"/>
    </row>
    <row r="29" customFormat="false" ht="13.5" hidden="false" customHeight="true" outlineLevel="0" collapsed="false">
      <c r="B29" s="109" t="s">
        <v>153</v>
      </c>
      <c r="C29" s="305" t="n">
        <v>10</v>
      </c>
      <c r="D29" s="161" t="s">
        <v>154</v>
      </c>
      <c r="F29" s="306" t="n">
        <v>1</v>
      </c>
      <c r="G29" s="306" t="n">
        <v>2</v>
      </c>
      <c r="H29" s="306" t="n">
        <v>3</v>
      </c>
      <c r="I29" s="306" t="n">
        <v>4</v>
      </c>
      <c r="J29" s="306" t="n">
        <v>5</v>
      </c>
    </row>
    <row r="30" customFormat="false" ht="13.5" hidden="false" customHeight="true" outlineLevel="0" collapsed="false">
      <c r="B30" s="109" t="s">
        <v>152</v>
      </c>
      <c r="C30" s="305" t="n">
        <f aca="false">E8</f>
        <v>875</v>
      </c>
      <c r="D30" s="161" t="s">
        <v>155</v>
      </c>
      <c r="F30" s="306" t="n">
        <f aca="false">$C30/$C29</f>
        <v>87.5</v>
      </c>
      <c r="G30" s="306" t="n">
        <f aca="false">$C30/$C29</f>
        <v>87.5</v>
      </c>
      <c r="H30" s="306" t="n">
        <f aca="false">$C30/$C29</f>
        <v>87.5</v>
      </c>
      <c r="I30" s="306" t="n">
        <f aca="false">$C30/$C29</f>
        <v>87.5</v>
      </c>
      <c r="J30" s="306" t="n">
        <f aca="false">$C30/$C29</f>
        <v>87.5</v>
      </c>
    </row>
    <row r="31" customFormat="false" ht="13.5" hidden="false" customHeight="true" outlineLevel="0" collapsed="false">
      <c r="B31" s="109" t="s">
        <v>156</v>
      </c>
      <c r="C31" s="94"/>
      <c r="F31" s="37"/>
      <c r="G31" s="37"/>
      <c r="H31" s="37"/>
      <c r="I31" s="37"/>
      <c r="J31" s="37"/>
    </row>
    <row r="32" customFormat="false" ht="13.5" hidden="false" customHeight="true" outlineLevel="0" collapsed="false"/>
    <row r="33" customFormat="false" ht="13.5" hidden="false" customHeight="true" outlineLevel="0" collapsed="false">
      <c r="C33" s="307" t="s">
        <v>157</v>
      </c>
      <c r="D33" s="308" t="s">
        <v>153</v>
      </c>
      <c r="E33" s="308"/>
    </row>
    <row r="34" customFormat="false" ht="13.5" hidden="false" customHeight="true" outlineLevel="0" collapsed="false">
      <c r="B34" s="309" t="s">
        <v>9</v>
      </c>
      <c r="C34" s="310" t="n">
        <f aca="false" t="array" ref="C34:C38">TRANSPOSE(F16:J16)</f>
        <v>205.99829978268</v>
      </c>
      <c r="D34" s="305" t="n">
        <v>12</v>
      </c>
      <c r="E34" s="161" t="s">
        <v>154</v>
      </c>
      <c r="F34" s="311" t="n">
        <f aca="false">$C34/$D34</f>
        <v>17.16652498189</v>
      </c>
      <c r="G34" s="311" t="n">
        <f aca="false">$C34/$D34</f>
        <v>17.16652498189</v>
      </c>
      <c r="H34" s="311" t="n">
        <f aca="false">$C34/$D34</f>
        <v>17.16652498189</v>
      </c>
      <c r="I34" s="311" t="n">
        <f aca="false">$C34/$D34</f>
        <v>17.16652498189</v>
      </c>
      <c r="J34" s="311" t="n">
        <f aca="false">$C34/$D34</f>
        <v>17.16652498189</v>
      </c>
    </row>
    <row r="35" customFormat="false" ht="13.5" hidden="false" customHeight="true" outlineLevel="0" collapsed="false">
      <c r="B35" s="309" t="s">
        <v>10</v>
      </c>
      <c r="C35" s="312" t="n">
        <v>240.188589611707</v>
      </c>
      <c r="D35" s="305" t="n">
        <v>12</v>
      </c>
      <c r="F35" s="313"/>
      <c r="G35" s="311" t="n">
        <f aca="false">$C35/$D35</f>
        <v>20.0157158009756</v>
      </c>
      <c r="H35" s="311" t="n">
        <f aca="false">$C35/$D35</f>
        <v>20.0157158009756</v>
      </c>
      <c r="I35" s="311" t="n">
        <f aca="false">$C35/$D35</f>
        <v>20.0157158009756</v>
      </c>
      <c r="J35" s="311" t="n">
        <f aca="false">$C35/$D35</f>
        <v>20.0157158009756</v>
      </c>
    </row>
    <row r="36" customFormat="false" ht="13.5" hidden="false" customHeight="true" outlineLevel="0" collapsed="false">
      <c r="B36" s="309" t="s">
        <v>11</v>
      </c>
      <c r="C36" s="314" t="n">
        <v>280.143863870198</v>
      </c>
      <c r="D36" s="305" t="n">
        <v>12</v>
      </c>
      <c r="F36" s="313"/>
      <c r="G36" s="313"/>
      <c r="H36" s="311" t="n">
        <f aca="false">$C36/$D36</f>
        <v>23.3453219891832</v>
      </c>
      <c r="I36" s="311" t="n">
        <f aca="false">$C36/$D36</f>
        <v>23.3453219891832</v>
      </c>
      <c r="J36" s="311" t="n">
        <f aca="false">$C36/$D36</f>
        <v>23.3453219891832</v>
      </c>
    </row>
    <row r="37" customFormat="false" ht="13.5" hidden="false" customHeight="true" outlineLevel="0" collapsed="false">
      <c r="B37" s="309" t="s">
        <v>12</v>
      </c>
      <c r="C37" s="314" t="n">
        <v>326.846933276357</v>
      </c>
      <c r="D37" s="305" t="n">
        <v>12</v>
      </c>
      <c r="F37" s="313"/>
      <c r="G37" s="313"/>
      <c r="H37" s="313"/>
      <c r="I37" s="311" t="n">
        <f aca="false">$C37/$D37</f>
        <v>27.2372444396964</v>
      </c>
      <c r="J37" s="311" t="n">
        <f aca="false">$C37/$D37</f>
        <v>27.2372444396964</v>
      </c>
    </row>
    <row r="38" customFormat="false" ht="13.5" hidden="false" customHeight="true" outlineLevel="0" collapsed="false">
      <c r="B38" s="309" t="s">
        <v>13</v>
      </c>
      <c r="C38" s="314" t="n">
        <v>381.449419506244</v>
      </c>
      <c r="D38" s="305" t="n">
        <v>12</v>
      </c>
      <c r="F38" s="313"/>
      <c r="G38" s="313"/>
      <c r="H38" s="313"/>
      <c r="I38" s="313"/>
      <c r="J38" s="311" t="n">
        <f aca="false">$C38/$D38</f>
        <v>31.7874516255203</v>
      </c>
    </row>
    <row r="39" customFormat="false" ht="13.5" hidden="false" customHeight="true" outlineLevel="0" collapsed="false">
      <c r="C39" s="313"/>
      <c r="D39" s="313"/>
      <c r="E39" s="313"/>
      <c r="F39" s="313"/>
      <c r="G39" s="313"/>
      <c r="H39" s="313"/>
      <c r="I39" s="313"/>
      <c r="J39" s="313"/>
    </row>
    <row r="40" customFormat="false" ht="13.5" hidden="false" customHeight="true" outlineLevel="0" collapsed="false">
      <c r="B40" s="315" t="s">
        <v>158</v>
      </c>
      <c r="C40" s="315"/>
      <c r="D40" s="315"/>
      <c r="E40" s="315"/>
      <c r="F40" s="316" t="n">
        <f aca="false">SUM(F30:F39)</f>
        <v>104.66652498189</v>
      </c>
      <c r="G40" s="316" t="n">
        <f aca="false">SUM(G30:G39)</f>
        <v>124.682240782866</v>
      </c>
      <c r="H40" s="316" t="n">
        <f aca="false">SUM(H30:H39)</f>
        <v>148.027562772049</v>
      </c>
      <c r="I40" s="316" t="n">
        <f aca="false">SUM(I30:I39)</f>
        <v>175.264807211745</v>
      </c>
      <c r="J40" s="316" t="n">
        <f aca="false">SUM(J30:J39)</f>
        <v>207.052258837265</v>
      </c>
    </row>
    <row r="41" customFormat="false" ht="13.5" hidden="false" customHeight="true" outlineLevel="0" collapsed="false">
      <c r="C41" s="313"/>
      <c r="D41" s="313"/>
      <c r="E41" s="313"/>
      <c r="F41" s="313"/>
      <c r="G41" s="313"/>
      <c r="H41" s="313"/>
      <c r="I41" s="313"/>
      <c r="J41" s="313"/>
    </row>
    <row r="42" customFormat="false" ht="13.5" hidden="false" customHeight="true" outlineLevel="0" collapsed="false">
      <c r="B42" s="304" t="s">
        <v>159</v>
      </c>
      <c r="C42" s="279"/>
      <c r="D42" s="279"/>
      <c r="E42" s="279"/>
      <c r="F42" s="279"/>
      <c r="G42" s="279"/>
      <c r="H42" s="279"/>
      <c r="I42" s="279"/>
      <c r="J42" s="279"/>
    </row>
    <row r="43" customFormat="false" ht="13.5" hidden="false" customHeight="true" outlineLevel="0" collapsed="false">
      <c r="B43" s="109" t="s">
        <v>153</v>
      </c>
      <c r="C43" s="305" t="n">
        <v>10</v>
      </c>
      <c r="D43" s="161" t="s">
        <v>154</v>
      </c>
      <c r="F43" s="306" t="n">
        <v>1</v>
      </c>
      <c r="G43" s="306" t="n">
        <v>2</v>
      </c>
      <c r="H43" s="306" t="n">
        <v>3</v>
      </c>
      <c r="I43" s="306" t="n">
        <v>4</v>
      </c>
      <c r="J43" s="306" t="n">
        <v>5</v>
      </c>
    </row>
    <row r="44" customFormat="false" ht="13.5" hidden="false" customHeight="true" outlineLevel="0" collapsed="false">
      <c r="B44" s="109" t="s">
        <v>159</v>
      </c>
      <c r="C44" s="305" t="n">
        <f aca="false">E9</f>
        <v>400</v>
      </c>
      <c r="D44" s="161" t="s">
        <v>160</v>
      </c>
      <c r="F44" s="306" t="n">
        <f aca="false">$C44/$C43</f>
        <v>40</v>
      </c>
      <c r="G44" s="306" t="n">
        <f aca="false">$C44/$C43</f>
        <v>40</v>
      </c>
      <c r="H44" s="306" t="n">
        <f aca="false">$C44/$C43</f>
        <v>40</v>
      </c>
      <c r="I44" s="306" t="n">
        <f aca="false">$C44/$C43</f>
        <v>40</v>
      </c>
      <c r="J44" s="306" t="n">
        <f aca="false">$C44/$C43</f>
        <v>40</v>
      </c>
    </row>
    <row r="45" customFormat="false" ht="13.5" hidden="false" customHeight="true" outlineLevel="0" collapsed="false">
      <c r="B45" s="109" t="s">
        <v>156</v>
      </c>
      <c r="C45" s="94"/>
      <c r="F45" s="37"/>
      <c r="G45" s="37"/>
      <c r="H45" s="37"/>
      <c r="I45" s="37"/>
      <c r="J45" s="37"/>
    </row>
    <row r="46" customFormat="false" ht="13.5" hidden="false" customHeight="true" outlineLevel="0" collapsed="false"/>
    <row r="47" customFormat="false" ht="13.5" hidden="false" customHeight="true" outlineLevel="0" collapsed="false">
      <c r="C47" s="307" t="s">
        <v>157</v>
      </c>
      <c r="D47" s="308" t="s">
        <v>153</v>
      </c>
      <c r="E47" s="308"/>
    </row>
    <row r="48" customFormat="false" ht="13.5" hidden="false" customHeight="true" outlineLevel="0" collapsed="false">
      <c r="B48" s="309" t="s">
        <v>9</v>
      </c>
      <c r="C48" s="310" t="n">
        <f aca="false" t="array" ref="C48:C52">TRANSPOSE(F17:J17)</f>
        <v>82.399319913072</v>
      </c>
      <c r="D48" s="305" t="n">
        <v>12</v>
      </c>
      <c r="F48" s="311" t="n">
        <f aca="false">$C48/$D48</f>
        <v>6.866609992756</v>
      </c>
      <c r="G48" s="311" t="n">
        <f aca="false">$C48/$D48</f>
        <v>6.866609992756</v>
      </c>
      <c r="H48" s="311" t="n">
        <f aca="false">$C48/$D48</f>
        <v>6.866609992756</v>
      </c>
      <c r="I48" s="311" t="n">
        <f aca="false">$C48/$D48</f>
        <v>6.866609992756</v>
      </c>
      <c r="J48" s="311" t="n">
        <f aca="false">$C48/$D48</f>
        <v>6.866609992756</v>
      </c>
    </row>
    <row r="49" customFormat="false" ht="13.5" hidden="false" customHeight="true" outlineLevel="0" collapsed="false">
      <c r="B49" s="309" t="s">
        <v>10</v>
      </c>
      <c r="C49" s="312" t="n">
        <v>96.0754358446827</v>
      </c>
      <c r="D49" s="305" t="n">
        <v>12</v>
      </c>
      <c r="F49" s="313"/>
      <c r="G49" s="311" t="n">
        <f aca="false">$C49/$D49</f>
        <v>8.00628632039023</v>
      </c>
      <c r="H49" s="311" t="n">
        <f aca="false">$C49/$D49</f>
        <v>8.00628632039023</v>
      </c>
      <c r="I49" s="311" t="n">
        <f aca="false">$C49/$D49</f>
        <v>8.00628632039023</v>
      </c>
      <c r="J49" s="311" t="n">
        <f aca="false">$C49/$D49</f>
        <v>8.00628632039023</v>
      </c>
    </row>
    <row r="50" customFormat="false" ht="13.5" hidden="false" customHeight="true" outlineLevel="0" collapsed="false">
      <c r="B50" s="309" t="s">
        <v>11</v>
      </c>
      <c r="C50" s="314" t="n">
        <v>112.057545548079</v>
      </c>
      <c r="D50" s="305" t="n">
        <v>12</v>
      </c>
      <c r="F50" s="313"/>
      <c r="G50" s="313"/>
      <c r="H50" s="311" t="n">
        <f aca="false">$C50/$D50</f>
        <v>9.33812879567327</v>
      </c>
      <c r="I50" s="311" t="n">
        <f aca="false">$C50/$D50</f>
        <v>9.33812879567327</v>
      </c>
      <c r="J50" s="311" t="n">
        <f aca="false">$C50/$D50</f>
        <v>9.33812879567327</v>
      </c>
    </row>
    <row r="51" customFormat="false" ht="13.5" hidden="false" customHeight="true" outlineLevel="0" collapsed="false">
      <c r="B51" s="309" t="s">
        <v>12</v>
      </c>
      <c r="C51" s="314" t="n">
        <v>130.738773310543</v>
      </c>
      <c r="D51" s="305" t="n">
        <v>12</v>
      </c>
      <c r="F51" s="313"/>
      <c r="G51" s="313"/>
      <c r="H51" s="313"/>
      <c r="I51" s="311" t="n">
        <f aca="false">$C51/$D51</f>
        <v>10.8948977758786</v>
      </c>
      <c r="J51" s="311" t="n">
        <f aca="false">$C51/$D51</f>
        <v>10.8948977758786</v>
      </c>
    </row>
    <row r="52" customFormat="false" ht="13.5" hidden="false" customHeight="true" outlineLevel="0" collapsed="false">
      <c r="B52" s="309" t="s">
        <v>13</v>
      </c>
      <c r="C52" s="314" t="n">
        <v>152.579767802498</v>
      </c>
      <c r="D52" s="305" t="n">
        <v>12</v>
      </c>
      <c r="F52" s="313"/>
      <c r="G52" s="313"/>
      <c r="H52" s="313"/>
      <c r="I52" s="313"/>
      <c r="J52" s="311" t="n">
        <f aca="false">$C52/$D52</f>
        <v>12.7149806502081</v>
      </c>
    </row>
    <row r="53" customFormat="false" ht="13.5" hidden="false" customHeight="true" outlineLevel="0" collapsed="false">
      <c r="F53" s="313"/>
      <c r="G53" s="313"/>
      <c r="H53" s="313"/>
      <c r="I53" s="313"/>
      <c r="J53" s="313"/>
    </row>
    <row r="54" customFormat="false" ht="13.5" hidden="false" customHeight="true" outlineLevel="0" collapsed="false">
      <c r="B54" s="315" t="s">
        <v>161</v>
      </c>
      <c r="C54" s="315"/>
      <c r="D54" s="315"/>
      <c r="E54" s="315"/>
      <c r="F54" s="316" t="n">
        <f aca="false">SUM(F44:F53)</f>
        <v>46.866609992756</v>
      </c>
      <c r="G54" s="316" t="n">
        <f aca="false">SUM(G44:G53)</f>
        <v>54.8728963131462</v>
      </c>
      <c r="H54" s="316" t="n">
        <f aca="false">SUM(H44:H53)</f>
        <v>64.2110251088195</v>
      </c>
      <c r="I54" s="316" t="n">
        <f aca="false">SUM(I44:I53)</f>
        <v>75.1059228846981</v>
      </c>
      <c r="J54" s="316" t="n">
        <f aca="false">SUM(J44:J53)</f>
        <v>87.8209035349062</v>
      </c>
    </row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>
      <c r="B57" s="317" t="s">
        <v>162</v>
      </c>
      <c r="C57" s="318" t="n">
        <f aca="false">'Income Statement'!C12</f>
        <v>101.9</v>
      </c>
      <c r="D57" s="318" t="n">
        <f aca="false">'Income Statement'!D12</f>
        <v>123.1</v>
      </c>
      <c r="E57" s="318" t="n">
        <f aca="false">'Income Statement'!E12</f>
        <v>140</v>
      </c>
      <c r="F57" s="76" t="n">
        <f aca="false">F54+F40</f>
        <v>151.533134974646</v>
      </c>
      <c r="G57" s="76" t="n">
        <f aca="false">G54+G40</f>
        <v>179.555137096012</v>
      </c>
      <c r="H57" s="76" t="n">
        <f aca="false">H54+H40</f>
        <v>212.238587880868</v>
      </c>
      <c r="I57" s="76" t="n">
        <f aca="false">I54+I40</f>
        <v>250.370730096443</v>
      </c>
      <c r="J57" s="76" t="n">
        <f aca="false">J54+J40</f>
        <v>294.873162372172</v>
      </c>
    </row>
    <row r="64" customFormat="false" ht="13.5" hidden="false" customHeight="true" outlineLevel="0" collapsed="false">
      <c r="E64" s="313"/>
    </row>
    <row r="65" customFormat="false" ht="13.5" hidden="false" customHeight="true" outlineLevel="0" collapsed="false">
      <c r="E65" s="313"/>
    </row>
  </sheetData>
  <mergeCells count="4">
    <mergeCell ref="C3:E3"/>
    <mergeCell ref="F3:J3"/>
    <mergeCell ref="D33:E33"/>
    <mergeCell ref="D47:E4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C86"/>
    <pageSetUpPr fitToPage="false"/>
  </sheetPr>
  <dimension ref="A1:M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F7" activeCellId="0" sqref="F7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34"/>
    <col collapsed="false" customWidth="true" hidden="false" outlineLevel="0" max="6" min="3" style="2" width="13"/>
    <col collapsed="false" customWidth="true" hidden="false" outlineLevel="0" max="9" min="7" style="2" width="12"/>
    <col collapsed="false" customWidth="true" hidden="false" outlineLevel="0" max="10" min="10" style="2" width="13.11"/>
    <col collapsed="false" customWidth="false" hidden="false" outlineLevel="0" max="11" min="11" style="2" width="9.11"/>
    <col collapsed="false" customWidth="true" hidden="false" outlineLevel="0" max="12" min="12" style="2" width="26.33"/>
    <col collapsed="false" customWidth="false" hidden="false" outlineLevel="0" max="254" min="13" style="2" width="9.11"/>
    <col collapsed="false" customWidth="true" hidden="false" outlineLevel="0" max="255" min="255" style="2" width="2.44"/>
    <col collapsed="false" customWidth="true" hidden="false" outlineLevel="0" max="256" min="256" style="2" width="48.11"/>
    <col collapsed="false" customWidth="false" hidden="false" outlineLevel="0" max="267" min="257" style="2" width="9.11"/>
    <col collapsed="false" customWidth="true" hidden="false" outlineLevel="0" max="268" min="268" style="2" width="26.33"/>
    <col collapsed="false" customWidth="false" hidden="false" outlineLevel="0" max="510" min="269" style="2" width="9.11"/>
    <col collapsed="false" customWidth="true" hidden="false" outlineLevel="0" max="511" min="511" style="2" width="2.44"/>
    <col collapsed="false" customWidth="true" hidden="false" outlineLevel="0" max="512" min="512" style="2" width="48.11"/>
    <col collapsed="false" customWidth="false" hidden="false" outlineLevel="0" max="523" min="513" style="2" width="9.11"/>
    <col collapsed="false" customWidth="true" hidden="false" outlineLevel="0" max="524" min="524" style="2" width="26.33"/>
    <col collapsed="false" customWidth="false" hidden="false" outlineLevel="0" max="766" min="525" style="2" width="9.11"/>
    <col collapsed="false" customWidth="true" hidden="false" outlineLevel="0" max="767" min="767" style="2" width="2.44"/>
    <col collapsed="false" customWidth="true" hidden="false" outlineLevel="0" max="768" min="768" style="2" width="48.11"/>
    <col collapsed="false" customWidth="false" hidden="false" outlineLevel="0" max="779" min="769" style="2" width="9.11"/>
    <col collapsed="false" customWidth="true" hidden="false" outlineLevel="0" max="780" min="780" style="2" width="26.33"/>
    <col collapsed="false" customWidth="false" hidden="false" outlineLevel="0" max="1022" min="781" style="2" width="9.11"/>
    <col collapsed="false" customWidth="true" hidden="false" outlineLevel="0" max="1023" min="1023" style="2" width="2.44"/>
    <col collapsed="false" customWidth="true" hidden="false" outlineLevel="0" max="1024" min="1024" style="2" width="48.11"/>
    <col collapsed="false" customWidth="false" hidden="false" outlineLevel="0" max="1035" min="1025" style="2" width="9.11"/>
    <col collapsed="false" customWidth="true" hidden="false" outlineLevel="0" max="1036" min="1036" style="2" width="26.33"/>
    <col collapsed="false" customWidth="false" hidden="false" outlineLevel="0" max="1278" min="1037" style="2" width="9.11"/>
    <col collapsed="false" customWidth="true" hidden="false" outlineLevel="0" max="1279" min="1279" style="2" width="2.44"/>
    <col collapsed="false" customWidth="true" hidden="false" outlineLevel="0" max="1280" min="1280" style="2" width="48.11"/>
    <col collapsed="false" customWidth="false" hidden="false" outlineLevel="0" max="1291" min="1281" style="2" width="9.11"/>
    <col collapsed="false" customWidth="true" hidden="false" outlineLevel="0" max="1292" min="1292" style="2" width="26.33"/>
    <col collapsed="false" customWidth="false" hidden="false" outlineLevel="0" max="1534" min="1293" style="2" width="9.11"/>
    <col collapsed="false" customWidth="true" hidden="false" outlineLevel="0" max="1535" min="1535" style="2" width="2.44"/>
    <col collapsed="false" customWidth="true" hidden="false" outlineLevel="0" max="1536" min="1536" style="2" width="48.11"/>
    <col collapsed="false" customWidth="false" hidden="false" outlineLevel="0" max="1547" min="1537" style="2" width="9.11"/>
    <col collapsed="false" customWidth="true" hidden="false" outlineLevel="0" max="1548" min="1548" style="2" width="26.33"/>
    <col collapsed="false" customWidth="false" hidden="false" outlineLevel="0" max="1790" min="1549" style="2" width="9.11"/>
    <col collapsed="false" customWidth="true" hidden="false" outlineLevel="0" max="1791" min="1791" style="2" width="2.44"/>
    <col collapsed="false" customWidth="true" hidden="false" outlineLevel="0" max="1792" min="1792" style="2" width="48.11"/>
    <col collapsed="false" customWidth="false" hidden="false" outlineLevel="0" max="1803" min="1793" style="2" width="9.11"/>
    <col collapsed="false" customWidth="true" hidden="false" outlineLevel="0" max="1804" min="1804" style="2" width="26.33"/>
    <col collapsed="false" customWidth="false" hidden="false" outlineLevel="0" max="2046" min="1805" style="2" width="9.11"/>
    <col collapsed="false" customWidth="true" hidden="false" outlineLevel="0" max="2047" min="2047" style="2" width="2.44"/>
    <col collapsed="false" customWidth="true" hidden="false" outlineLevel="0" max="2048" min="2048" style="2" width="48.11"/>
    <col collapsed="false" customWidth="false" hidden="false" outlineLevel="0" max="2059" min="2049" style="2" width="9.11"/>
    <col collapsed="false" customWidth="true" hidden="false" outlineLevel="0" max="2060" min="2060" style="2" width="26.33"/>
    <col collapsed="false" customWidth="false" hidden="false" outlineLevel="0" max="2302" min="2061" style="2" width="9.11"/>
    <col collapsed="false" customWidth="true" hidden="false" outlineLevel="0" max="2303" min="2303" style="2" width="2.44"/>
    <col collapsed="false" customWidth="true" hidden="false" outlineLevel="0" max="2304" min="2304" style="2" width="48.11"/>
    <col collapsed="false" customWidth="false" hidden="false" outlineLevel="0" max="2315" min="2305" style="2" width="9.11"/>
    <col collapsed="false" customWidth="true" hidden="false" outlineLevel="0" max="2316" min="2316" style="2" width="26.33"/>
    <col collapsed="false" customWidth="false" hidden="false" outlineLevel="0" max="2558" min="2317" style="2" width="9.11"/>
    <col collapsed="false" customWidth="true" hidden="false" outlineLevel="0" max="2559" min="2559" style="2" width="2.44"/>
    <col collapsed="false" customWidth="true" hidden="false" outlineLevel="0" max="2560" min="2560" style="2" width="48.11"/>
    <col collapsed="false" customWidth="false" hidden="false" outlineLevel="0" max="2571" min="2561" style="2" width="9.11"/>
    <col collapsed="false" customWidth="true" hidden="false" outlineLevel="0" max="2572" min="2572" style="2" width="26.33"/>
    <col collapsed="false" customWidth="false" hidden="false" outlineLevel="0" max="2814" min="2573" style="2" width="9.11"/>
    <col collapsed="false" customWidth="true" hidden="false" outlineLevel="0" max="2815" min="2815" style="2" width="2.44"/>
    <col collapsed="false" customWidth="true" hidden="false" outlineLevel="0" max="2816" min="2816" style="2" width="48.11"/>
    <col collapsed="false" customWidth="false" hidden="false" outlineLevel="0" max="2827" min="2817" style="2" width="9.11"/>
    <col collapsed="false" customWidth="true" hidden="false" outlineLevel="0" max="2828" min="2828" style="2" width="26.33"/>
    <col collapsed="false" customWidth="false" hidden="false" outlineLevel="0" max="3070" min="2829" style="2" width="9.11"/>
    <col collapsed="false" customWidth="true" hidden="false" outlineLevel="0" max="3071" min="3071" style="2" width="2.44"/>
    <col collapsed="false" customWidth="true" hidden="false" outlineLevel="0" max="3072" min="3072" style="2" width="48.11"/>
    <col collapsed="false" customWidth="false" hidden="false" outlineLevel="0" max="3083" min="3073" style="2" width="9.11"/>
    <col collapsed="false" customWidth="true" hidden="false" outlineLevel="0" max="3084" min="3084" style="2" width="26.33"/>
    <col collapsed="false" customWidth="false" hidden="false" outlineLevel="0" max="3326" min="3085" style="2" width="9.11"/>
    <col collapsed="false" customWidth="true" hidden="false" outlineLevel="0" max="3327" min="3327" style="2" width="2.44"/>
    <col collapsed="false" customWidth="true" hidden="false" outlineLevel="0" max="3328" min="3328" style="2" width="48.11"/>
    <col collapsed="false" customWidth="false" hidden="false" outlineLevel="0" max="3339" min="3329" style="2" width="9.11"/>
    <col collapsed="false" customWidth="true" hidden="false" outlineLevel="0" max="3340" min="3340" style="2" width="26.33"/>
    <col collapsed="false" customWidth="false" hidden="false" outlineLevel="0" max="3582" min="3341" style="2" width="9.11"/>
    <col collapsed="false" customWidth="true" hidden="false" outlineLevel="0" max="3583" min="3583" style="2" width="2.44"/>
    <col collapsed="false" customWidth="true" hidden="false" outlineLevel="0" max="3584" min="3584" style="2" width="48.11"/>
    <col collapsed="false" customWidth="false" hidden="false" outlineLevel="0" max="3595" min="3585" style="2" width="9.11"/>
    <col collapsed="false" customWidth="true" hidden="false" outlineLevel="0" max="3596" min="3596" style="2" width="26.33"/>
    <col collapsed="false" customWidth="false" hidden="false" outlineLevel="0" max="3838" min="3597" style="2" width="9.11"/>
    <col collapsed="false" customWidth="true" hidden="false" outlineLevel="0" max="3839" min="3839" style="2" width="2.44"/>
    <col collapsed="false" customWidth="true" hidden="false" outlineLevel="0" max="3840" min="3840" style="2" width="48.11"/>
    <col collapsed="false" customWidth="false" hidden="false" outlineLevel="0" max="3851" min="3841" style="2" width="9.11"/>
    <col collapsed="false" customWidth="true" hidden="false" outlineLevel="0" max="3852" min="3852" style="2" width="26.33"/>
    <col collapsed="false" customWidth="false" hidden="false" outlineLevel="0" max="4094" min="3853" style="2" width="9.11"/>
    <col collapsed="false" customWidth="true" hidden="false" outlineLevel="0" max="4095" min="4095" style="2" width="2.44"/>
    <col collapsed="false" customWidth="true" hidden="false" outlineLevel="0" max="4096" min="4096" style="2" width="48.11"/>
    <col collapsed="false" customWidth="false" hidden="false" outlineLevel="0" max="4107" min="4097" style="2" width="9.11"/>
    <col collapsed="false" customWidth="true" hidden="false" outlineLevel="0" max="4108" min="4108" style="2" width="26.33"/>
    <col collapsed="false" customWidth="false" hidden="false" outlineLevel="0" max="4350" min="4109" style="2" width="9.11"/>
    <col collapsed="false" customWidth="true" hidden="false" outlineLevel="0" max="4351" min="4351" style="2" width="2.44"/>
    <col collapsed="false" customWidth="true" hidden="false" outlineLevel="0" max="4352" min="4352" style="2" width="48.11"/>
    <col collapsed="false" customWidth="false" hidden="false" outlineLevel="0" max="4363" min="4353" style="2" width="9.11"/>
    <col collapsed="false" customWidth="true" hidden="false" outlineLevel="0" max="4364" min="4364" style="2" width="26.33"/>
    <col collapsed="false" customWidth="false" hidden="false" outlineLevel="0" max="4606" min="4365" style="2" width="9.11"/>
    <col collapsed="false" customWidth="true" hidden="false" outlineLevel="0" max="4607" min="4607" style="2" width="2.44"/>
    <col collapsed="false" customWidth="true" hidden="false" outlineLevel="0" max="4608" min="4608" style="2" width="48.11"/>
    <col collapsed="false" customWidth="false" hidden="false" outlineLevel="0" max="4619" min="4609" style="2" width="9.11"/>
    <col collapsed="false" customWidth="true" hidden="false" outlineLevel="0" max="4620" min="4620" style="2" width="26.33"/>
    <col collapsed="false" customWidth="false" hidden="false" outlineLevel="0" max="4862" min="4621" style="2" width="9.11"/>
    <col collapsed="false" customWidth="true" hidden="false" outlineLevel="0" max="4863" min="4863" style="2" width="2.44"/>
    <col collapsed="false" customWidth="true" hidden="false" outlineLevel="0" max="4864" min="4864" style="2" width="48.11"/>
    <col collapsed="false" customWidth="false" hidden="false" outlineLevel="0" max="4875" min="4865" style="2" width="9.11"/>
    <col collapsed="false" customWidth="true" hidden="false" outlineLevel="0" max="4876" min="4876" style="2" width="26.33"/>
    <col collapsed="false" customWidth="false" hidden="false" outlineLevel="0" max="5118" min="4877" style="2" width="9.11"/>
    <col collapsed="false" customWidth="true" hidden="false" outlineLevel="0" max="5119" min="5119" style="2" width="2.44"/>
    <col collapsed="false" customWidth="true" hidden="false" outlineLevel="0" max="5120" min="5120" style="2" width="48.11"/>
    <col collapsed="false" customWidth="false" hidden="false" outlineLevel="0" max="5131" min="5121" style="2" width="9.11"/>
    <col collapsed="false" customWidth="true" hidden="false" outlineLevel="0" max="5132" min="5132" style="2" width="26.33"/>
    <col collapsed="false" customWidth="false" hidden="false" outlineLevel="0" max="5374" min="5133" style="2" width="9.11"/>
    <col collapsed="false" customWidth="true" hidden="false" outlineLevel="0" max="5375" min="5375" style="2" width="2.44"/>
    <col collapsed="false" customWidth="true" hidden="false" outlineLevel="0" max="5376" min="5376" style="2" width="48.11"/>
    <col collapsed="false" customWidth="false" hidden="false" outlineLevel="0" max="5387" min="5377" style="2" width="9.11"/>
    <col collapsed="false" customWidth="true" hidden="false" outlineLevel="0" max="5388" min="5388" style="2" width="26.33"/>
    <col collapsed="false" customWidth="false" hidden="false" outlineLevel="0" max="5630" min="5389" style="2" width="9.11"/>
    <col collapsed="false" customWidth="true" hidden="false" outlineLevel="0" max="5631" min="5631" style="2" width="2.44"/>
    <col collapsed="false" customWidth="true" hidden="false" outlineLevel="0" max="5632" min="5632" style="2" width="48.11"/>
    <col collapsed="false" customWidth="false" hidden="false" outlineLevel="0" max="5643" min="5633" style="2" width="9.11"/>
    <col collapsed="false" customWidth="true" hidden="false" outlineLevel="0" max="5644" min="5644" style="2" width="26.33"/>
    <col collapsed="false" customWidth="false" hidden="false" outlineLevel="0" max="5886" min="5645" style="2" width="9.11"/>
    <col collapsed="false" customWidth="true" hidden="false" outlineLevel="0" max="5887" min="5887" style="2" width="2.44"/>
    <col collapsed="false" customWidth="true" hidden="false" outlineLevel="0" max="5888" min="5888" style="2" width="48.11"/>
    <col collapsed="false" customWidth="false" hidden="false" outlineLevel="0" max="5899" min="5889" style="2" width="9.11"/>
    <col collapsed="false" customWidth="true" hidden="false" outlineLevel="0" max="5900" min="5900" style="2" width="26.33"/>
    <col collapsed="false" customWidth="false" hidden="false" outlineLevel="0" max="6142" min="5901" style="2" width="9.11"/>
    <col collapsed="false" customWidth="true" hidden="false" outlineLevel="0" max="6143" min="6143" style="2" width="2.44"/>
    <col collapsed="false" customWidth="true" hidden="false" outlineLevel="0" max="6144" min="6144" style="2" width="48.11"/>
    <col collapsed="false" customWidth="false" hidden="false" outlineLevel="0" max="6155" min="6145" style="2" width="9.11"/>
    <col collapsed="false" customWidth="true" hidden="false" outlineLevel="0" max="6156" min="6156" style="2" width="26.33"/>
    <col collapsed="false" customWidth="false" hidden="false" outlineLevel="0" max="6398" min="6157" style="2" width="9.11"/>
    <col collapsed="false" customWidth="true" hidden="false" outlineLevel="0" max="6399" min="6399" style="2" width="2.44"/>
    <col collapsed="false" customWidth="true" hidden="false" outlineLevel="0" max="6400" min="6400" style="2" width="48.11"/>
    <col collapsed="false" customWidth="false" hidden="false" outlineLevel="0" max="6411" min="6401" style="2" width="9.11"/>
    <col collapsed="false" customWidth="true" hidden="false" outlineLevel="0" max="6412" min="6412" style="2" width="26.33"/>
    <col collapsed="false" customWidth="false" hidden="false" outlineLevel="0" max="6654" min="6413" style="2" width="9.11"/>
    <col collapsed="false" customWidth="true" hidden="false" outlineLevel="0" max="6655" min="6655" style="2" width="2.44"/>
    <col collapsed="false" customWidth="true" hidden="false" outlineLevel="0" max="6656" min="6656" style="2" width="48.11"/>
    <col collapsed="false" customWidth="false" hidden="false" outlineLevel="0" max="6667" min="6657" style="2" width="9.11"/>
    <col collapsed="false" customWidth="true" hidden="false" outlineLevel="0" max="6668" min="6668" style="2" width="26.33"/>
    <col collapsed="false" customWidth="false" hidden="false" outlineLevel="0" max="6910" min="6669" style="2" width="9.11"/>
    <col collapsed="false" customWidth="true" hidden="false" outlineLevel="0" max="6911" min="6911" style="2" width="2.44"/>
    <col collapsed="false" customWidth="true" hidden="false" outlineLevel="0" max="6912" min="6912" style="2" width="48.11"/>
    <col collapsed="false" customWidth="false" hidden="false" outlineLevel="0" max="6923" min="6913" style="2" width="9.11"/>
    <col collapsed="false" customWidth="true" hidden="false" outlineLevel="0" max="6924" min="6924" style="2" width="26.33"/>
    <col collapsed="false" customWidth="false" hidden="false" outlineLevel="0" max="7166" min="6925" style="2" width="9.11"/>
    <col collapsed="false" customWidth="true" hidden="false" outlineLevel="0" max="7167" min="7167" style="2" width="2.44"/>
    <col collapsed="false" customWidth="true" hidden="false" outlineLevel="0" max="7168" min="7168" style="2" width="48.11"/>
    <col collapsed="false" customWidth="false" hidden="false" outlineLevel="0" max="7179" min="7169" style="2" width="9.11"/>
    <col collapsed="false" customWidth="true" hidden="false" outlineLevel="0" max="7180" min="7180" style="2" width="26.33"/>
    <col collapsed="false" customWidth="false" hidden="false" outlineLevel="0" max="7422" min="7181" style="2" width="9.11"/>
    <col collapsed="false" customWidth="true" hidden="false" outlineLevel="0" max="7423" min="7423" style="2" width="2.44"/>
    <col collapsed="false" customWidth="true" hidden="false" outlineLevel="0" max="7424" min="7424" style="2" width="48.11"/>
    <col collapsed="false" customWidth="false" hidden="false" outlineLevel="0" max="7435" min="7425" style="2" width="9.11"/>
    <col collapsed="false" customWidth="true" hidden="false" outlineLevel="0" max="7436" min="7436" style="2" width="26.33"/>
    <col collapsed="false" customWidth="false" hidden="false" outlineLevel="0" max="7678" min="7437" style="2" width="9.11"/>
    <col collapsed="false" customWidth="true" hidden="false" outlineLevel="0" max="7679" min="7679" style="2" width="2.44"/>
    <col collapsed="false" customWidth="true" hidden="false" outlineLevel="0" max="7680" min="7680" style="2" width="48.11"/>
    <col collapsed="false" customWidth="false" hidden="false" outlineLevel="0" max="7691" min="7681" style="2" width="9.11"/>
    <col collapsed="false" customWidth="true" hidden="false" outlineLevel="0" max="7692" min="7692" style="2" width="26.33"/>
    <col collapsed="false" customWidth="false" hidden="false" outlineLevel="0" max="7934" min="7693" style="2" width="9.11"/>
    <col collapsed="false" customWidth="true" hidden="false" outlineLevel="0" max="7935" min="7935" style="2" width="2.44"/>
    <col collapsed="false" customWidth="true" hidden="false" outlineLevel="0" max="7936" min="7936" style="2" width="48.11"/>
    <col collapsed="false" customWidth="false" hidden="false" outlineLevel="0" max="7947" min="7937" style="2" width="9.11"/>
    <col collapsed="false" customWidth="true" hidden="false" outlineLevel="0" max="7948" min="7948" style="2" width="26.33"/>
    <col collapsed="false" customWidth="false" hidden="false" outlineLevel="0" max="8190" min="7949" style="2" width="9.11"/>
    <col collapsed="false" customWidth="true" hidden="false" outlineLevel="0" max="8191" min="8191" style="2" width="2.44"/>
    <col collapsed="false" customWidth="true" hidden="false" outlineLevel="0" max="8192" min="8192" style="2" width="48.11"/>
    <col collapsed="false" customWidth="false" hidden="false" outlineLevel="0" max="8203" min="8193" style="2" width="9.11"/>
    <col collapsed="false" customWidth="true" hidden="false" outlineLevel="0" max="8204" min="8204" style="2" width="26.33"/>
    <col collapsed="false" customWidth="false" hidden="false" outlineLevel="0" max="8446" min="8205" style="2" width="9.11"/>
    <col collapsed="false" customWidth="true" hidden="false" outlineLevel="0" max="8447" min="8447" style="2" width="2.44"/>
    <col collapsed="false" customWidth="true" hidden="false" outlineLevel="0" max="8448" min="8448" style="2" width="48.11"/>
    <col collapsed="false" customWidth="false" hidden="false" outlineLevel="0" max="8459" min="8449" style="2" width="9.11"/>
    <col collapsed="false" customWidth="true" hidden="false" outlineLevel="0" max="8460" min="8460" style="2" width="26.33"/>
    <col collapsed="false" customWidth="false" hidden="false" outlineLevel="0" max="8702" min="8461" style="2" width="9.11"/>
    <col collapsed="false" customWidth="true" hidden="false" outlineLevel="0" max="8703" min="8703" style="2" width="2.44"/>
    <col collapsed="false" customWidth="true" hidden="false" outlineLevel="0" max="8704" min="8704" style="2" width="48.11"/>
    <col collapsed="false" customWidth="false" hidden="false" outlineLevel="0" max="8715" min="8705" style="2" width="9.11"/>
    <col collapsed="false" customWidth="true" hidden="false" outlineLevel="0" max="8716" min="8716" style="2" width="26.33"/>
    <col collapsed="false" customWidth="false" hidden="false" outlineLevel="0" max="8958" min="8717" style="2" width="9.11"/>
    <col collapsed="false" customWidth="true" hidden="false" outlineLevel="0" max="8959" min="8959" style="2" width="2.44"/>
    <col collapsed="false" customWidth="true" hidden="false" outlineLevel="0" max="8960" min="8960" style="2" width="48.11"/>
    <col collapsed="false" customWidth="false" hidden="false" outlineLevel="0" max="8971" min="8961" style="2" width="9.11"/>
    <col collapsed="false" customWidth="true" hidden="false" outlineLevel="0" max="8972" min="8972" style="2" width="26.33"/>
    <col collapsed="false" customWidth="false" hidden="false" outlineLevel="0" max="9214" min="8973" style="2" width="9.11"/>
    <col collapsed="false" customWidth="true" hidden="false" outlineLevel="0" max="9215" min="9215" style="2" width="2.44"/>
    <col collapsed="false" customWidth="true" hidden="false" outlineLevel="0" max="9216" min="9216" style="2" width="48.11"/>
    <col collapsed="false" customWidth="false" hidden="false" outlineLevel="0" max="9227" min="9217" style="2" width="9.11"/>
    <col collapsed="false" customWidth="true" hidden="false" outlineLevel="0" max="9228" min="9228" style="2" width="26.33"/>
    <col collapsed="false" customWidth="false" hidden="false" outlineLevel="0" max="9470" min="9229" style="2" width="9.11"/>
    <col collapsed="false" customWidth="true" hidden="false" outlineLevel="0" max="9471" min="9471" style="2" width="2.44"/>
    <col collapsed="false" customWidth="true" hidden="false" outlineLevel="0" max="9472" min="9472" style="2" width="48.11"/>
    <col collapsed="false" customWidth="false" hidden="false" outlineLevel="0" max="9483" min="9473" style="2" width="9.11"/>
    <col collapsed="false" customWidth="true" hidden="false" outlineLevel="0" max="9484" min="9484" style="2" width="26.33"/>
    <col collapsed="false" customWidth="false" hidden="false" outlineLevel="0" max="9726" min="9485" style="2" width="9.11"/>
    <col collapsed="false" customWidth="true" hidden="false" outlineLevel="0" max="9727" min="9727" style="2" width="2.44"/>
    <col collapsed="false" customWidth="true" hidden="false" outlineLevel="0" max="9728" min="9728" style="2" width="48.11"/>
    <col collapsed="false" customWidth="false" hidden="false" outlineLevel="0" max="9739" min="9729" style="2" width="9.11"/>
    <col collapsed="false" customWidth="true" hidden="false" outlineLevel="0" max="9740" min="9740" style="2" width="26.33"/>
    <col collapsed="false" customWidth="false" hidden="false" outlineLevel="0" max="9982" min="9741" style="2" width="9.11"/>
    <col collapsed="false" customWidth="true" hidden="false" outlineLevel="0" max="9983" min="9983" style="2" width="2.44"/>
    <col collapsed="false" customWidth="true" hidden="false" outlineLevel="0" max="9984" min="9984" style="2" width="48.11"/>
    <col collapsed="false" customWidth="false" hidden="false" outlineLevel="0" max="9995" min="9985" style="2" width="9.11"/>
    <col collapsed="false" customWidth="true" hidden="false" outlineLevel="0" max="9996" min="9996" style="2" width="26.33"/>
    <col collapsed="false" customWidth="false" hidden="false" outlineLevel="0" max="10238" min="9997" style="2" width="9.11"/>
    <col collapsed="false" customWidth="true" hidden="false" outlineLevel="0" max="10239" min="10239" style="2" width="2.44"/>
    <col collapsed="false" customWidth="true" hidden="false" outlineLevel="0" max="10240" min="10240" style="2" width="48.11"/>
    <col collapsed="false" customWidth="false" hidden="false" outlineLevel="0" max="10251" min="10241" style="2" width="9.11"/>
    <col collapsed="false" customWidth="true" hidden="false" outlineLevel="0" max="10252" min="10252" style="2" width="26.33"/>
    <col collapsed="false" customWidth="false" hidden="false" outlineLevel="0" max="10494" min="10253" style="2" width="9.11"/>
    <col collapsed="false" customWidth="true" hidden="false" outlineLevel="0" max="10495" min="10495" style="2" width="2.44"/>
    <col collapsed="false" customWidth="true" hidden="false" outlineLevel="0" max="10496" min="10496" style="2" width="48.11"/>
    <col collapsed="false" customWidth="false" hidden="false" outlineLevel="0" max="10507" min="10497" style="2" width="9.11"/>
    <col collapsed="false" customWidth="true" hidden="false" outlineLevel="0" max="10508" min="10508" style="2" width="26.33"/>
    <col collapsed="false" customWidth="false" hidden="false" outlineLevel="0" max="10750" min="10509" style="2" width="9.11"/>
    <col collapsed="false" customWidth="true" hidden="false" outlineLevel="0" max="10751" min="10751" style="2" width="2.44"/>
    <col collapsed="false" customWidth="true" hidden="false" outlineLevel="0" max="10752" min="10752" style="2" width="48.11"/>
    <col collapsed="false" customWidth="false" hidden="false" outlineLevel="0" max="10763" min="10753" style="2" width="9.11"/>
    <col collapsed="false" customWidth="true" hidden="false" outlineLevel="0" max="10764" min="10764" style="2" width="26.33"/>
    <col collapsed="false" customWidth="false" hidden="false" outlineLevel="0" max="11006" min="10765" style="2" width="9.11"/>
    <col collapsed="false" customWidth="true" hidden="false" outlineLevel="0" max="11007" min="11007" style="2" width="2.44"/>
    <col collapsed="false" customWidth="true" hidden="false" outlineLevel="0" max="11008" min="11008" style="2" width="48.11"/>
    <col collapsed="false" customWidth="false" hidden="false" outlineLevel="0" max="11019" min="11009" style="2" width="9.11"/>
    <col collapsed="false" customWidth="true" hidden="false" outlineLevel="0" max="11020" min="11020" style="2" width="26.33"/>
    <col collapsed="false" customWidth="false" hidden="false" outlineLevel="0" max="11262" min="11021" style="2" width="9.11"/>
    <col collapsed="false" customWidth="true" hidden="false" outlineLevel="0" max="11263" min="11263" style="2" width="2.44"/>
    <col collapsed="false" customWidth="true" hidden="false" outlineLevel="0" max="11264" min="11264" style="2" width="48.11"/>
    <col collapsed="false" customWidth="false" hidden="false" outlineLevel="0" max="11275" min="11265" style="2" width="9.11"/>
    <col collapsed="false" customWidth="true" hidden="false" outlineLevel="0" max="11276" min="11276" style="2" width="26.33"/>
    <col collapsed="false" customWidth="false" hidden="false" outlineLevel="0" max="11518" min="11277" style="2" width="9.11"/>
    <col collapsed="false" customWidth="true" hidden="false" outlineLevel="0" max="11519" min="11519" style="2" width="2.44"/>
    <col collapsed="false" customWidth="true" hidden="false" outlineLevel="0" max="11520" min="11520" style="2" width="48.11"/>
    <col collapsed="false" customWidth="false" hidden="false" outlineLevel="0" max="11531" min="11521" style="2" width="9.11"/>
    <col collapsed="false" customWidth="true" hidden="false" outlineLevel="0" max="11532" min="11532" style="2" width="26.33"/>
    <col collapsed="false" customWidth="false" hidden="false" outlineLevel="0" max="11774" min="11533" style="2" width="9.11"/>
    <col collapsed="false" customWidth="true" hidden="false" outlineLevel="0" max="11775" min="11775" style="2" width="2.44"/>
    <col collapsed="false" customWidth="true" hidden="false" outlineLevel="0" max="11776" min="11776" style="2" width="48.11"/>
    <col collapsed="false" customWidth="false" hidden="false" outlineLevel="0" max="11787" min="11777" style="2" width="9.11"/>
    <col collapsed="false" customWidth="true" hidden="false" outlineLevel="0" max="11788" min="11788" style="2" width="26.33"/>
    <col collapsed="false" customWidth="false" hidden="false" outlineLevel="0" max="12030" min="11789" style="2" width="9.11"/>
    <col collapsed="false" customWidth="true" hidden="false" outlineLevel="0" max="12031" min="12031" style="2" width="2.44"/>
    <col collapsed="false" customWidth="true" hidden="false" outlineLevel="0" max="12032" min="12032" style="2" width="48.11"/>
    <col collapsed="false" customWidth="false" hidden="false" outlineLevel="0" max="12043" min="12033" style="2" width="9.11"/>
    <col collapsed="false" customWidth="true" hidden="false" outlineLevel="0" max="12044" min="12044" style="2" width="26.33"/>
    <col collapsed="false" customWidth="false" hidden="false" outlineLevel="0" max="12286" min="12045" style="2" width="9.11"/>
    <col collapsed="false" customWidth="true" hidden="false" outlineLevel="0" max="12287" min="12287" style="2" width="2.44"/>
    <col collapsed="false" customWidth="true" hidden="false" outlineLevel="0" max="12288" min="12288" style="2" width="48.11"/>
    <col collapsed="false" customWidth="false" hidden="false" outlineLevel="0" max="12299" min="12289" style="2" width="9.11"/>
    <col collapsed="false" customWidth="true" hidden="false" outlineLevel="0" max="12300" min="12300" style="2" width="26.33"/>
    <col collapsed="false" customWidth="false" hidden="false" outlineLevel="0" max="12542" min="12301" style="2" width="9.11"/>
    <col collapsed="false" customWidth="true" hidden="false" outlineLevel="0" max="12543" min="12543" style="2" width="2.44"/>
    <col collapsed="false" customWidth="true" hidden="false" outlineLevel="0" max="12544" min="12544" style="2" width="48.11"/>
    <col collapsed="false" customWidth="false" hidden="false" outlineLevel="0" max="12555" min="12545" style="2" width="9.11"/>
    <col collapsed="false" customWidth="true" hidden="false" outlineLevel="0" max="12556" min="12556" style="2" width="26.33"/>
    <col collapsed="false" customWidth="false" hidden="false" outlineLevel="0" max="12798" min="12557" style="2" width="9.11"/>
    <col collapsed="false" customWidth="true" hidden="false" outlineLevel="0" max="12799" min="12799" style="2" width="2.44"/>
    <col collapsed="false" customWidth="true" hidden="false" outlineLevel="0" max="12800" min="12800" style="2" width="48.11"/>
    <col collapsed="false" customWidth="false" hidden="false" outlineLevel="0" max="12811" min="12801" style="2" width="9.11"/>
    <col collapsed="false" customWidth="true" hidden="false" outlineLevel="0" max="12812" min="12812" style="2" width="26.33"/>
    <col collapsed="false" customWidth="false" hidden="false" outlineLevel="0" max="13054" min="12813" style="2" width="9.11"/>
    <col collapsed="false" customWidth="true" hidden="false" outlineLevel="0" max="13055" min="13055" style="2" width="2.44"/>
    <col collapsed="false" customWidth="true" hidden="false" outlineLevel="0" max="13056" min="13056" style="2" width="48.11"/>
    <col collapsed="false" customWidth="false" hidden="false" outlineLevel="0" max="13067" min="13057" style="2" width="9.11"/>
    <col collapsed="false" customWidth="true" hidden="false" outlineLevel="0" max="13068" min="13068" style="2" width="26.33"/>
    <col collapsed="false" customWidth="false" hidden="false" outlineLevel="0" max="13310" min="13069" style="2" width="9.11"/>
    <col collapsed="false" customWidth="true" hidden="false" outlineLevel="0" max="13311" min="13311" style="2" width="2.44"/>
    <col collapsed="false" customWidth="true" hidden="false" outlineLevel="0" max="13312" min="13312" style="2" width="48.11"/>
    <col collapsed="false" customWidth="false" hidden="false" outlineLevel="0" max="13323" min="13313" style="2" width="9.11"/>
    <col collapsed="false" customWidth="true" hidden="false" outlineLevel="0" max="13324" min="13324" style="2" width="26.33"/>
    <col collapsed="false" customWidth="false" hidden="false" outlineLevel="0" max="13566" min="13325" style="2" width="9.11"/>
    <col collapsed="false" customWidth="true" hidden="false" outlineLevel="0" max="13567" min="13567" style="2" width="2.44"/>
    <col collapsed="false" customWidth="true" hidden="false" outlineLevel="0" max="13568" min="13568" style="2" width="48.11"/>
    <col collapsed="false" customWidth="false" hidden="false" outlineLevel="0" max="13579" min="13569" style="2" width="9.11"/>
    <col collapsed="false" customWidth="true" hidden="false" outlineLevel="0" max="13580" min="13580" style="2" width="26.33"/>
    <col collapsed="false" customWidth="false" hidden="false" outlineLevel="0" max="13822" min="13581" style="2" width="9.11"/>
    <col collapsed="false" customWidth="true" hidden="false" outlineLevel="0" max="13823" min="13823" style="2" width="2.44"/>
    <col collapsed="false" customWidth="true" hidden="false" outlineLevel="0" max="13824" min="13824" style="2" width="48.11"/>
    <col collapsed="false" customWidth="false" hidden="false" outlineLevel="0" max="13835" min="13825" style="2" width="9.11"/>
    <col collapsed="false" customWidth="true" hidden="false" outlineLevel="0" max="13836" min="13836" style="2" width="26.33"/>
    <col collapsed="false" customWidth="false" hidden="false" outlineLevel="0" max="14078" min="13837" style="2" width="9.11"/>
    <col collapsed="false" customWidth="true" hidden="false" outlineLevel="0" max="14079" min="14079" style="2" width="2.44"/>
    <col collapsed="false" customWidth="true" hidden="false" outlineLevel="0" max="14080" min="14080" style="2" width="48.11"/>
    <col collapsed="false" customWidth="false" hidden="false" outlineLevel="0" max="14091" min="14081" style="2" width="9.11"/>
    <col collapsed="false" customWidth="true" hidden="false" outlineLevel="0" max="14092" min="14092" style="2" width="26.33"/>
    <col collapsed="false" customWidth="false" hidden="false" outlineLevel="0" max="14334" min="14093" style="2" width="9.11"/>
    <col collapsed="false" customWidth="true" hidden="false" outlineLevel="0" max="14335" min="14335" style="2" width="2.44"/>
    <col collapsed="false" customWidth="true" hidden="false" outlineLevel="0" max="14336" min="14336" style="2" width="48.11"/>
    <col collapsed="false" customWidth="false" hidden="false" outlineLevel="0" max="14347" min="14337" style="2" width="9.11"/>
    <col collapsed="false" customWidth="true" hidden="false" outlineLevel="0" max="14348" min="14348" style="2" width="26.33"/>
    <col collapsed="false" customWidth="false" hidden="false" outlineLevel="0" max="14590" min="14349" style="2" width="9.11"/>
    <col collapsed="false" customWidth="true" hidden="false" outlineLevel="0" max="14591" min="14591" style="2" width="2.44"/>
    <col collapsed="false" customWidth="true" hidden="false" outlineLevel="0" max="14592" min="14592" style="2" width="48.11"/>
    <col collapsed="false" customWidth="false" hidden="false" outlineLevel="0" max="14603" min="14593" style="2" width="9.11"/>
    <col collapsed="false" customWidth="true" hidden="false" outlineLevel="0" max="14604" min="14604" style="2" width="26.33"/>
    <col collapsed="false" customWidth="false" hidden="false" outlineLevel="0" max="14846" min="14605" style="2" width="9.11"/>
    <col collapsed="false" customWidth="true" hidden="false" outlineLevel="0" max="14847" min="14847" style="2" width="2.44"/>
    <col collapsed="false" customWidth="true" hidden="false" outlineLevel="0" max="14848" min="14848" style="2" width="48.11"/>
    <col collapsed="false" customWidth="false" hidden="false" outlineLevel="0" max="14859" min="14849" style="2" width="9.11"/>
    <col collapsed="false" customWidth="true" hidden="false" outlineLevel="0" max="14860" min="14860" style="2" width="26.33"/>
    <col collapsed="false" customWidth="false" hidden="false" outlineLevel="0" max="15102" min="14861" style="2" width="9.11"/>
    <col collapsed="false" customWidth="true" hidden="false" outlineLevel="0" max="15103" min="15103" style="2" width="2.44"/>
    <col collapsed="false" customWidth="true" hidden="false" outlineLevel="0" max="15104" min="15104" style="2" width="48.11"/>
    <col collapsed="false" customWidth="false" hidden="false" outlineLevel="0" max="15115" min="15105" style="2" width="9.11"/>
    <col collapsed="false" customWidth="true" hidden="false" outlineLevel="0" max="15116" min="15116" style="2" width="26.33"/>
    <col collapsed="false" customWidth="false" hidden="false" outlineLevel="0" max="15358" min="15117" style="2" width="9.11"/>
    <col collapsed="false" customWidth="true" hidden="false" outlineLevel="0" max="15359" min="15359" style="2" width="2.44"/>
    <col collapsed="false" customWidth="true" hidden="false" outlineLevel="0" max="15360" min="15360" style="2" width="48.11"/>
    <col collapsed="false" customWidth="false" hidden="false" outlineLevel="0" max="15371" min="15361" style="2" width="9.11"/>
    <col collapsed="false" customWidth="true" hidden="false" outlineLevel="0" max="15372" min="15372" style="2" width="26.33"/>
    <col collapsed="false" customWidth="false" hidden="false" outlineLevel="0" max="15614" min="15373" style="2" width="9.11"/>
    <col collapsed="false" customWidth="true" hidden="false" outlineLevel="0" max="15615" min="15615" style="2" width="2.44"/>
    <col collapsed="false" customWidth="true" hidden="false" outlineLevel="0" max="15616" min="15616" style="2" width="48.11"/>
    <col collapsed="false" customWidth="false" hidden="false" outlineLevel="0" max="15627" min="15617" style="2" width="9.11"/>
    <col collapsed="false" customWidth="true" hidden="false" outlineLevel="0" max="15628" min="15628" style="2" width="26.33"/>
    <col collapsed="false" customWidth="false" hidden="false" outlineLevel="0" max="15870" min="15629" style="2" width="9.11"/>
    <col collapsed="false" customWidth="true" hidden="false" outlineLevel="0" max="15871" min="15871" style="2" width="2.44"/>
    <col collapsed="false" customWidth="true" hidden="false" outlineLevel="0" max="15872" min="15872" style="2" width="48.11"/>
    <col collapsed="false" customWidth="false" hidden="false" outlineLevel="0" max="15883" min="15873" style="2" width="9.11"/>
    <col collapsed="false" customWidth="true" hidden="false" outlineLevel="0" max="15884" min="15884" style="2" width="26.33"/>
    <col collapsed="false" customWidth="false" hidden="false" outlineLevel="0" max="16126" min="15885" style="2" width="9.11"/>
    <col collapsed="false" customWidth="true" hidden="false" outlineLevel="0" max="16127" min="16127" style="2" width="2.44"/>
    <col collapsed="false" customWidth="true" hidden="false" outlineLevel="0" max="16128" min="16128" style="2" width="48.11"/>
    <col collapsed="false" customWidth="false" hidden="false" outlineLevel="0" max="16139" min="16129" style="2" width="9.11"/>
    <col collapsed="false" customWidth="true" hidden="false" outlineLevel="0" max="16140" min="16140" style="2" width="26.33"/>
    <col collapsed="false" customWidth="false" hidden="false" outlineLevel="0" max="16384" min="16141" style="2" width="9.11"/>
  </cols>
  <sheetData>
    <row r="1" customFormat="false" ht="21.75" hidden="false" customHeight="true" outlineLevel="0" collapsed="false">
      <c r="A1" s="319" t="s">
        <v>0</v>
      </c>
    </row>
    <row r="2" s="2" customFormat="true" ht="18" hidden="false" customHeight="true" outlineLevel="0" collapsed="false">
      <c r="B2" s="320" t="s">
        <v>163</v>
      </c>
      <c r="C2" s="5"/>
      <c r="D2" s="5"/>
      <c r="E2" s="5"/>
      <c r="F2" s="5"/>
      <c r="G2" s="5"/>
      <c r="H2" s="5"/>
      <c r="I2" s="5"/>
      <c r="J2" s="5"/>
    </row>
    <row r="3" s="2" customFormat="true" ht="13.5" hidden="false" customHeight="true" outlineLevel="0" collapsed="false"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</row>
    <row r="4" s="2" customFormat="true" ht="13.5" hidden="false" customHeight="true" outlineLevel="0" collapsed="false">
      <c r="B4" s="321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</row>
    <row r="5" customFormat="false" ht="13.5" hidden="false" customHeight="true" outlineLevel="0" collapsed="false">
      <c r="B5" s="142"/>
      <c r="C5" s="5"/>
      <c r="D5" s="5"/>
      <c r="E5" s="5"/>
      <c r="F5" s="5"/>
      <c r="G5" s="5"/>
      <c r="H5" s="5"/>
      <c r="I5" s="5"/>
      <c r="J5" s="5"/>
    </row>
    <row r="6" customFormat="false" ht="13.5" hidden="false" customHeight="true" outlineLevel="0" collapsed="false">
      <c r="B6" s="19" t="s">
        <v>164</v>
      </c>
    </row>
    <row r="7" customFormat="false" ht="13.5" hidden="false" customHeight="true" outlineLevel="0" collapsed="false">
      <c r="B7" s="2" t="s">
        <v>165</v>
      </c>
      <c r="C7" s="322" t="n">
        <f aca="false">'Balance Sheet'!C9</f>
        <v>462.9</v>
      </c>
      <c r="D7" s="322" t="n">
        <f aca="false">'Balance Sheet'!D9</f>
        <v>473.7</v>
      </c>
      <c r="E7" s="322" t="n">
        <f aca="false">'Balance Sheet'!E9</f>
        <v>473</v>
      </c>
      <c r="F7" s="47" t="n">
        <f aca="false">F$17/F21</f>
        <v>474.078278951921</v>
      </c>
      <c r="G7" s="47" t="n">
        <f aca="false">G$17/G21</f>
        <v>552.762781572147</v>
      </c>
      <c r="H7" s="47" t="n">
        <f aca="false">H$17/H21</f>
        <v>644.714645619086</v>
      </c>
      <c r="I7" s="47" t="n">
        <f aca="false">I$17/I21</f>
        <v>752.195682060657</v>
      </c>
      <c r="J7" s="47" t="n">
        <f aca="false">J$17/J21</f>
        <v>877.856198315739</v>
      </c>
    </row>
    <row r="8" customFormat="false" ht="13.5" hidden="false" customHeight="true" outlineLevel="0" collapsed="false">
      <c r="B8" s="2" t="s">
        <v>54</v>
      </c>
      <c r="C8" s="322" t="n">
        <f aca="false">'Balance Sheet'!C10</f>
        <v>327</v>
      </c>
      <c r="D8" s="322" t="n">
        <f aca="false">'Balance Sheet'!D10</f>
        <v>350.2</v>
      </c>
      <c r="E8" s="322" t="n">
        <f aca="false">'Balance Sheet'!E10</f>
        <v>383.8</v>
      </c>
      <c r="F8" s="47" t="n">
        <f aca="false">F$18/F22</f>
        <v>411.327884342998</v>
      </c>
      <c r="G8" s="47" t="n">
        <f aca="false">G$18/G22</f>
        <v>479.443484399501</v>
      </c>
      <c r="H8" s="47" t="n">
        <f aca="false">H$18/H22</f>
        <v>559.031342926632</v>
      </c>
      <c r="I8" s="47" t="n">
        <f aca="false">I$18/I22</f>
        <v>652.046641464277</v>
      </c>
      <c r="J8" s="47" t="n">
        <f aca="false">J$18/J22</f>
        <v>760.780482516343</v>
      </c>
    </row>
    <row r="9" customFormat="false" ht="13.5" hidden="false" customHeight="true" outlineLevel="0" collapsed="false">
      <c r="B9" s="2" t="s">
        <v>55</v>
      </c>
      <c r="C9" s="322" t="n">
        <f aca="false">'Balance Sheet'!C11</f>
        <v>87.4</v>
      </c>
      <c r="D9" s="322" t="n">
        <f aca="false">'Balance Sheet'!D11</f>
        <v>82.8</v>
      </c>
      <c r="E9" s="322" t="n">
        <f aca="false">'Balance Sheet'!E11</f>
        <v>83.5</v>
      </c>
      <c r="F9" s="323" t="n">
        <f aca="false">F17*F30</f>
        <v>82.399319913072</v>
      </c>
      <c r="G9" s="323" t="n">
        <f aca="false">G17*G30</f>
        <v>96.0754358446827</v>
      </c>
      <c r="H9" s="323" t="n">
        <f aca="false">H17*H30</f>
        <v>112.057545548079</v>
      </c>
      <c r="I9" s="323" t="n">
        <f aca="false">I17*I30</f>
        <v>130.738773310543</v>
      </c>
      <c r="J9" s="323" t="n">
        <f aca="false">J17*J30</f>
        <v>152.579767802498</v>
      </c>
    </row>
    <row r="10" customFormat="false" ht="13.5" hidden="false" customHeight="true" outlineLevel="0" collapsed="false">
      <c r="B10" s="2" t="s">
        <v>166</v>
      </c>
      <c r="C10" s="307" t="n">
        <f aca="false">SUM(C7:C9)</f>
        <v>877.3</v>
      </c>
      <c r="D10" s="307" t="n">
        <f aca="false">SUM(D7:D9)</f>
        <v>906.7</v>
      </c>
      <c r="E10" s="307" t="n">
        <f aca="false">SUM(E7:E9)</f>
        <v>940.3</v>
      </c>
      <c r="F10" s="324" t="n">
        <f aca="false">SUM(F7:F9)</f>
        <v>967.805483207991</v>
      </c>
      <c r="G10" s="324" t="n">
        <f aca="false">SUM(G7:G9)</f>
        <v>1128.28170181633</v>
      </c>
      <c r="H10" s="324" t="n">
        <f aca="false">SUM(H7:H9)</f>
        <v>1315.8035340938</v>
      </c>
      <c r="I10" s="324" t="n">
        <f aca="false">SUM(I7:I9)</f>
        <v>1534.98109683548</v>
      </c>
      <c r="J10" s="324" t="n">
        <f aca="false">SUM(J7:J9)</f>
        <v>1791.21644863458</v>
      </c>
    </row>
    <row r="11" customFormat="false" ht="13.5" hidden="false" customHeight="true" outlineLevel="0" collapsed="false">
      <c r="F11" s="37"/>
      <c r="G11" s="37"/>
      <c r="H11" s="37"/>
      <c r="I11" s="37"/>
      <c r="J11" s="37"/>
    </row>
    <row r="12" customFormat="false" ht="13.5" hidden="false" customHeight="true" outlineLevel="0" collapsed="false">
      <c r="B12" s="2" t="s">
        <v>69</v>
      </c>
      <c r="C12" s="325" t="n">
        <f aca="false">'Balance Sheet'!C30</f>
        <v>206.4</v>
      </c>
      <c r="D12" s="325" t="n">
        <f aca="false">'Balance Sheet'!D30</f>
        <v>221.4</v>
      </c>
      <c r="E12" s="325" t="n">
        <f aca="false">'Balance Sheet'!E30</f>
        <v>279.1</v>
      </c>
      <c r="F12" s="47" t="n">
        <f aca="false">F$18/F23</f>
        <v>308.495913257249</v>
      </c>
      <c r="G12" s="47" t="n">
        <f aca="false">G$18/G23</f>
        <v>359.582613299626</v>
      </c>
      <c r="H12" s="47" t="n">
        <f aca="false">H$18/H23</f>
        <v>419.273507194974</v>
      </c>
      <c r="I12" s="47" t="n">
        <f aca="false">I$18/I23</f>
        <v>489.034981098208</v>
      </c>
      <c r="J12" s="47" t="n">
        <f aca="false">J$18/J23</f>
        <v>570.585361887257</v>
      </c>
    </row>
    <row r="13" customFormat="false" ht="13.5" hidden="false" customHeight="true" outlineLevel="0" collapsed="false">
      <c r="B13" s="2" t="s">
        <v>70</v>
      </c>
      <c r="C13" s="322" t="n">
        <f aca="false">'Balance Sheet'!C31</f>
        <v>180.7</v>
      </c>
      <c r="D13" s="322" t="n">
        <f aca="false">'Balance Sheet'!D31</f>
        <v>161.3</v>
      </c>
      <c r="E13" s="322" t="n">
        <f aca="false">'Balance Sheet'!E31</f>
        <v>176.7</v>
      </c>
      <c r="F13" s="323" t="n">
        <f aca="false">F18*F31</f>
        <v>200.179570380259</v>
      </c>
      <c r="G13" s="323" t="n">
        <f aca="false">G18*G31</f>
        <v>233.329162407757</v>
      </c>
      <c r="H13" s="323" t="n">
        <f aca="false">H18*H31</f>
        <v>272.061920224294</v>
      </c>
      <c r="I13" s="323" t="n">
        <f aca="false">I18*I31</f>
        <v>317.329365512615</v>
      </c>
      <c r="J13" s="323" t="n">
        <f aca="false">J18*J31</f>
        <v>370.246501491287</v>
      </c>
    </row>
    <row r="14" customFormat="false" ht="13.5" hidden="false" customHeight="true" outlineLevel="0" collapsed="false">
      <c r="B14" s="2" t="s">
        <v>71</v>
      </c>
      <c r="C14" s="322" t="n">
        <f aca="false">'Balance Sheet'!C32</f>
        <v>68.3</v>
      </c>
      <c r="D14" s="322" t="n">
        <f aca="false">'Balance Sheet'!D32</f>
        <v>62.8</v>
      </c>
      <c r="E14" s="322" t="n">
        <f aca="false">'Balance Sheet'!E32</f>
        <v>81.8</v>
      </c>
      <c r="F14" s="47" t="n">
        <f aca="false">F18*F32</f>
        <v>87.5785620413634</v>
      </c>
      <c r="G14" s="47" t="n">
        <f aca="false">G18*G32</f>
        <v>102.081508553394</v>
      </c>
      <c r="H14" s="47" t="n">
        <f aca="false">H18*H32</f>
        <v>119.027090098129</v>
      </c>
      <c r="I14" s="47" t="n">
        <f aca="false">I18*I32</f>
        <v>138.831597411769</v>
      </c>
      <c r="J14" s="47" t="n">
        <f aca="false">J18*J32</f>
        <v>161.982844402438</v>
      </c>
    </row>
    <row r="15" customFormat="false" ht="13.5" hidden="false" customHeight="true" outlineLevel="0" collapsed="false">
      <c r="B15" s="2" t="s">
        <v>167</v>
      </c>
      <c r="C15" s="326" t="n">
        <f aca="false">SUM(C12:C14)</f>
        <v>455.4</v>
      </c>
      <c r="D15" s="326" t="n">
        <f aca="false">SUM(D12:D14)</f>
        <v>445.5</v>
      </c>
      <c r="E15" s="326" t="n">
        <f aca="false">SUM(E12:E14)</f>
        <v>537.6</v>
      </c>
      <c r="F15" s="327" t="n">
        <f aca="false">SUM(F12:F14)</f>
        <v>596.254045678871</v>
      </c>
      <c r="G15" s="327" t="n">
        <f aca="false">SUM(G12:G14)</f>
        <v>694.993284260777</v>
      </c>
      <c r="H15" s="327" t="n">
        <f aca="false">SUM(H12:H14)</f>
        <v>810.362517517397</v>
      </c>
      <c r="I15" s="327" t="n">
        <f aca="false">SUM(I12:I14)</f>
        <v>945.195944022592</v>
      </c>
      <c r="J15" s="327" t="n">
        <f aca="false">SUM(J12:J14)</f>
        <v>1102.81470778098</v>
      </c>
    </row>
    <row r="16" customFormat="false" ht="13.5" hidden="false" customHeight="true" outlineLevel="0" collapsed="false"/>
    <row r="17" customFormat="false" ht="13.5" hidden="false" customHeight="true" outlineLevel="0" collapsed="false">
      <c r="B17" s="2" t="s">
        <v>14</v>
      </c>
      <c r="C17" s="328" t="n">
        <f aca="false">'Income Statement'!C5</f>
        <v>2904.94</v>
      </c>
      <c r="D17" s="328" t="n">
        <f aca="false">'Income Statement'!D5</f>
        <v>3408.0000038</v>
      </c>
      <c r="E17" s="328" t="n">
        <f aca="false">'Income Statement'!E5</f>
        <v>3958.95999668</v>
      </c>
      <c r="F17" s="329" t="n">
        <f aca="false">'Income Statement'!F5</f>
        <v>4119.9659956536</v>
      </c>
      <c r="G17" s="329" t="n">
        <f aca="false">'Income Statement'!G5</f>
        <v>4803.77179223414</v>
      </c>
      <c r="H17" s="329" t="n">
        <f aca="false">'Income Statement'!H5</f>
        <v>5602.87727740396</v>
      </c>
      <c r="I17" s="329" t="n">
        <f aca="false">'Income Statement'!I5</f>
        <v>6536.93866552714</v>
      </c>
      <c r="J17" s="329" t="n">
        <f aca="false">'Income Statement'!J5</f>
        <v>7628.98839012488</v>
      </c>
      <c r="L17" s="2" t="s">
        <v>168</v>
      </c>
      <c r="M17" s="2" t="n">
        <v>365</v>
      </c>
    </row>
    <row r="18" customFormat="false" ht="13.5" hidden="false" customHeight="true" outlineLevel="0" collapsed="false">
      <c r="B18" s="2" t="s">
        <v>16</v>
      </c>
      <c r="C18" s="328" t="n">
        <f aca="false">'Income Statement'!C6</f>
        <v>1494.8366264</v>
      </c>
      <c r="D18" s="328" t="n">
        <f aca="false">'Income Statement'!D6</f>
        <v>1866.124604653</v>
      </c>
      <c r="E18" s="328" t="n">
        <f aca="false">'Income Statement'!E6</f>
        <v>2309.7271735372</v>
      </c>
      <c r="F18" s="329" t="n">
        <f aca="false">'Income Statement'!F6</f>
        <v>2502.24462975324</v>
      </c>
      <c r="G18" s="329" t="n">
        <f aca="false">'Income Statement'!G6</f>
        <v>2916.61453009697</v>
      </c>
      <c r="H18" s="329" t="n">
        <f aca="false">'Income Statement'!H6</f>
        <v>3400.77400280368</v>
      </c>
      <c r="I18" s="329" t="n">
        <f aca="false">'Income Statement'!I6</f>
        <v>3966.61706890769</v>
      </c>
      <c r="J18" s="329" t="n">
        <f aca="false">'Income Statement'!J6</f>
        <v>4628.08126864108</v>
      </c>
    </row>
    <row r="19" customFormat="false" ht="13.5" hidden="false" customHeight="true" outlineLevel="0" collapsed="false"/>
    <row r="20" customFormat="false" ht="13.5" hidden="false" customHeight="true" outlineLevel="0" collapsed="false">
      <c r="B20" s="65" t="s">
        <v>169</v>
      </c>
    </row>
    <row r="21" customFormat="false" ht="13.5" hidden="false" customHeight="true" outlineLevel="0" collapsed="false">
      <c r="B21" s="29" t="s">
        <v>170</v>
      </c>
      <c r="C21" s="155" t="n">
        <f aca="false">C17/C7</f>
        <v>6.27552387124649</v>
      </c>
      <c r="D21" s="155" t="n">
        <f aca="false">D17/D7</f>
        <v>7.19442686046021</v>
      </c>
      <c r="E21" s="155" t="n">
        <f aca="false">E17/E7</f>
        <v>8.36989428473573</v>
      </c>
      <c r="F21" s="156" t="n">
        <f aca="false">$M$17/F25</f>
        <v>8.69047619047619</v>
      </c>
      <c r="G21" s="156" t="n">
        <f aca="false">$M$17/G25</f>
        <v>8.69047619047619</v>
      </c>
      <c r="H21" s="156" t="n">
        <f aca="false">$M$17/H25</f>
        <v>8.69047619047619</v>
      </c>
      <c r="I21" s="156" t="n">
        <f aca="false">$M$17/I25</f>
        <v>8.69047619047619</v>
      </c>
      <c r="J21" s="156" t="n">
        <f aca="false">$M$17/J25</f>
        <v>8.69047619047619</v>
      </c>
    </row>
    <row r="22" customFormat="false" ht="13.5" hidden="false" customHeight="true" outlineLevel="0" collapsed="false">
      <c r="B22" s="29" t="s">
        <v>171</v>
      </c>
      <c r="C22" s="155" t="n">
        <f aca="false">C18/C8</f>
        <v>4.57136582996942</v>
      </c>
      <c r="D22" s="155" t="n">
        <f aca="false">D18/D8</f>
        <v>5.32873959067105</v>
      </c>
      <c r="E22" s="155" t="n">
        <f aca="false">E18/E8</f>
        <v>6.0180489148963</v>
      </c>
      <c r="F22" s="156" t="n">
        <f aca="false">$M$17/F26</f>
        <v>6.08333333333333</v>
      </c>
      <c r="G22" s="156" t="n">
        <f aca="false">$M$17/G26</f>
        <v>6.08333333333333</v>
      </c>
      <c r="H22" s="156" t="n">
        <f aca="false">$M$17/H26</f>
        <v>6.08333333333333</v>
      </c>
      <c r="I22" s="156" t="n">
        <f aca="false">$M$17/I26</f>
        <v>6.08333333333333</v>
      </c>
      <c r="J22" s="156" t="n">
        <f aca="false">$M$17/J26</f>
        <v>6.08333333333333</v>
      </c>
    </row>
    <row r="23" customFormat="false" ht="13.5" hidden="false" customHeight="true" outlineLevel="0" collapsed="false">
      <c r="B23" s="29" t="s">
        <v>172</v>
      </c>
      <c r="C23" s="155" t="n">
        <f aca="false">C18/C12</f>
        <v>7.24242551550388</v>
      </c>
      <c r="D23" s="155" t="n">
        <f aca="false">D18/D12</f>
        <v>8.42874708515357</v>
      </c>
      <c r="E23" s="155" t="n">
        <f aca="false">E18/E12</f>
        <v>8.27562584570835</v>
      </c>
      <c r="F23" s="156" t="n">
        <f aca="false">$M$17/F27</f>
        <v>8.11111111111111</v>
      </c>
      <c r="G23" s="156" t="n">
        <f aca="false">$M$17/G27</f>
        <v>8.11111111111111</v>
      </c>
      <c r="H23" s="156" t="n">
        <f aca="false">$M$17/H27</f>
        <v>8.11111111111111</v>
      </c>
      <c r="I23" s="156" t="n">
        <f aca="false">$M$17/I27</f>
        <v>8.11111111111111</v>
      </c>
      <c r="J23" s="156" t="n">
        <f aca="false">$M$17/J27</f>
        <v>8.11111111111111</v>
      </c>
    </row>
    <row r="24" customFormat="false" ht="13.5" hidden="false" customHeight="true" outlineLevel="0" collapsed="false"/>
    <row r="25" customFormat="false" ht="13.5" hidden="false" customHeight="true" outlineLevel="0" collapsed="false">
      <c r="B25" s="29" t="s">
        <v>173</v>
      </c>
      <c r="C25" s="155" t="n">
        <f aca="false">$M$17/C21</f>
        <v>58.1624749564535</v>
      </c>
      <c r="D25" s="155" t="n">
        <f aca="false">$M$17/D21</f>
        <v>50.7337147321631</v>
      </c>
      <c r="E25" s="155" t="n">
        <f aca="false">$M$17/E21</f>
        <v>43.6086750421274</v>
      </c>
      <c r="F25" s="87" t="n">
        <v>42</v>
      </c>
      <c r="G25" s="87" t="n">
        <v>42</v>
      </c>
      <c r="H25" s="87" t="n">
        <v>42</v>
      </c>
      <c r="I25" s="87" t="n">
        <v>42</v>
      </c>
      <c r="J25" s="87" t="n">
        <v>42</v>
      </c>
    </row>
    <row r="26" customFormat="false" ht="13.5" hidden="false" customHeight="true" outlineLevel="0" collapsed="false">
      <c r="B26" s="29" t="s">
        <v>174</v>
      </c>
      <c r="C26" s="155" t="n">
        <f aca="false">$M$17/C22</f>
        <v>79.8448458460919</v>
      </c>
      <c r="D26" s="155" t="n">
        <f aca="false">$M$17/D22</f>
        <v>68.4964978658369</v>
      </c>
      <c r="E26" s="155" t="n">
        <f aca="false">$M$17/E22</f>
        <v>60.6508862193736</v>
      </c>
      <c r="F26" s="87" t="n">
        <v>60</v>
      </c>
      <c r="G26" s="87" t="n">
        <v>60</v>
      </c>
      <c r="H26" s="87" t="n">
        <v>60</v>
      </c>
      <c r="I26" s="87" t="n">
        <v>60</v>
      </c>
      <c r="J26" s="87" t="n">
        <v>60</v>
      </c>
    </row>
    <row r="27" customFormat="false" ht="13.5" hidden="false" customHeight="true" outlineLevel="0" collapsed="false">
      <c r="B27" s="29" t="s">
        <v>175</v>
      </c>
      <c r="C27" s="155" t="n">
        <f aca="false">$M$17/C23</f>
        <v>50.397480680836</v>
      </c>
      <c r="D27" s="155" t="n">
        <f aca="false">$M$17/D23</f>
        <v>43.3041822601265</v>
      </c>
      <c r="E27" s="155" t="n">
        <f aca="false">$M$17/E23</f>
        <v>44.1054255962146</v>
      </c>
      <c r="F27" s="87" t="n">
        <v>45</v>
      </c>
      <c r="G27" s="87" t="n">
        <v>45</v>
      </c>
      <c r="H27" s="87" t="n">
        <v>45</v>
      </c>
      <c r="I27" s="87" t="n">
        <v>45</v>
      </c>
      <c r="J27" s="87" t="n">
        <v>45</v>
      </c>
    </row>
    <row r="28" customFormat="false" ht="13.5" hidden="false" customHeight="true" outlineLevel="0" collapsed="false">
      <c r="B28" s="330" t="s">
        <v>176</v>
      </c>
      <c r="C28" s="331" t="n">
        <f aca="false">C26+C25-C27</f>
        <v>87.6098401217094</v>
      </c>
      <c r="D28" s="331" t="n">
        <f aca="false">D26+D25-D27</f>
        <v>75.9260303378735</v>
      </c>
      <c r="E28" s="331" t="n">
        <f aca="false">E26+E25-E27</f>
        <v>60.1541356652864</v>
      </c>
      <c r="F28" s="332" t="n">
        <f aca="false">F26+F25-F27</f>
        <v>57</v>
      </c>
      <c r="G28" s="332" t="n">
        <f aca="false">G26+G25-G27</f>
        <v>57</v>
      </c>
      <c r="H28" s="332" t="n">
        <f aca="false">H26+H25-H27</f>
        <v>57</v>
      </c>
      <c r="I28" s="332" t="n">
        <f aca="false">I26+I25-I27</f>
        <v>57</v>
      </c>
      <c r="J28" s="332" t="n">
        <f aca="false">J26+J25-J27</f>
        <v>57</v>
      </c>
    </row>
    <row r="29" customFormat="false" ht="13.5" hidden="false" customHeight="true" outlineLevel="0" collapsed="false">
      <c r="F29" s="333"/>
    </row>
    <row r="30" customFormat="false" ht="13.5" hidden="false" customHeight="true" outlineLevel="0" collapsed="false">
      <c r="B30" s="2" t="s">
        <v>177</v>
      </c>
      <c r="C30" s="334" t="n">
        <f aca="false">C9/C17</f>
        <v>0.0300866799314272</v>
      </c>
      <c r="D30" s="334" t="n">
        <f aca="false">D9/D17</f>
        <v>0.024295774620797</v>
      </c>
      <c r="E30" s="334" t="n">
        <f aca="false">E9/E17</f>
        <v>0.0210913977585082</v>
      </c>
      <c r="F30" s="254" t="n">
        <v>0.02</v>
      </c>
      <c r="G30" s="254" t="n">
        <v>0.02</v>
      </c>
      <c r="H30" s="254" t="n">
        <v>0.02</v>
      </c>
      <c r="I30" s="254" t="n">
        <v>0.02</v>
      </c>
      <c r="J30" s="254" t="n">
        <v>0.02</v>
      </c>
    </row>
    <row r="31" customFormat="false" ht="13.5" hidden="false" customHeight="true" outlineLevel="0" collapsed="false">
      <c r="B31" s="2" t="s">
        <v>178</v>
      </c>
      <c r="C31" s="334" t="n">
        <f aca="false">C13/C18</f>
        <v>0.120882775287075</v>
      </c>
      <c r="D31" s="334" t="n">
        <f aca="false">D13/D18</f>
        <v>0.0864358144133646</v>
      </c>
      <c r="E31" s="334" t="n">
        <f aca="false">E13/E18</f>
        <v>0.0765025419558082</v>
      </c>
      <c r="F31" s="254" t="n">
        <v>0.08</v>
      </c>
      <c r="G31" s="254" t="n">
        <v>0.08</v>
      </c>
      <c r="H31" s="254" t="n">
        <v>0.08</v>
      </c>
      <c r="I31" s="254" t="n">
        <v>0.08</v>
      </c>
      <c r="J31" s="254" t="n">
        <v>0.08</v>
      </c>
    </row>
    <row r="32" customFormat="false" ht="13.5" hidden="false" customHeight="true" outlineLevel="0" collapsed="false">
      <c r="B32" s="2" t="s">
        <v>179</v>
      </c>
      <c r="C32" s="334" t="n">
        <f aca="false">C14/C18</f>
        <v>0.0456906117991544</v>
      </c>
      <c r="D32" s="334" t="n">
        <f aca="false">D14/D18</f>
        <v>0.0336526295422151</v>
      </c>
      <c r="E32" s="334" t="n">
        <f aca="false">E14/E18</f>
        <v>0.0354154382115739</v>
      </c>
      <c r="F32" s="254" t="n">
        <v>0.035</v>
      </c>
      <c r="G32" s="254" t="n">
        <v>0.035</v>
      </c>
      <c r="H32" s="254" t="n">
        <v>0.035</v>
      </c>
      <c r="I32" s="254" t="n">
        <v>0.035</v>
      </c>
      <c r="J32" s="254" t="n">
        <v>0.035</v>
      </c>
    </row>
    <row r="33" customFormat="false" ht="13.5" hidden="false" customHeight="true" outlineLevel="0" collapsed="false"/>
    <row r="34" customFormat="false" ht="13.5" hidden="false" customHeight="true" outlineLevel="0" collapsed="false">
      <c r="B34" s="19" t="s">
        <v>180</v>
      </c>
    </row>
    <row r="35" customFormat="false" ht="13.5" hidden="false" customHeight="true" outlineLevel="0" collapsed="false">
      <c r="B35" s="2" t="s">
        <v>165</v>
      </c>
      <c r="D35" s="313"/>
      <c r="E35" s="313"/>
      <c r="F35" s="311" t="n">
        <f aca="false">-(F7-E7)</f>
        <v>-1.07827895192111</v>
      </c>
      <c r="G35" s="311" t="n">
        <f aca="false">-(G7-F7)</f>
        <v>-78.6845026202262</v>
      </c>
      <c r="H35" s="311" t="n">
        <f aca="false">-(H7-G7)</f>
        <v>-91.9518640469388</v>
      </c>
      <c r="I35" s="311" t="n">
        <f aca="false">-(I7-H7)</f>
        <v>-107.481036441571</v>
      </c>
      <c r="J35" s="311" t="n">
        <f aca="false">-(J7-I7)</f>
        <v>-125.660516255082</v>
      </c>
    </row>
    <row r="36" customFormat="false" ht="13.5" hidden="false" customHeight="true" outlineLevel="0" collapsed="false">
      <c r="B36" s="2" t="s">
        <v>181</v>
      </c>
      <c r="D36" s="313"/>
      <c r="E36" s="313"/>
      <c r="F36" s="311" t="n">
        <f aca="false">-(F8-E8)</f>
        <v>-27.5278843429983</v>
      </c>
      <c r="G36" s="311" t="n">
        <f aca="false">-(G8-F8)</f>
        <v>-68.115600056503</v>
      </c>
      <c r="H36" s="311" t="n">
        <f aca="false">-(H8-G8)</f>
        <v>-79.5878585271307</v>
      </c>
      <c r="I36" s="311" t="n">
        <f aca="false">-(I8-H8)</f>
        <v>-93.0152985376452</v>
      </c>
      <c r="J36" s="311" t="n">
        <f aca="false">-(J8-I8)</f>
        <v>-108.733841052065</v>
      </c>
    </row>
    <row r="37" customFormat="false" ht="13.5" hidden="false" customHeight="true" outlineLevel="0" collapsed="false">
      <c r="B37" s="2" t="s">
        <v>182</v>
      </c>
      <c r="D37" s="313"/>
      <c r="E37" s="313"/>
      <c r="F37" s="311" t="n">
        <f aca="false">-(F9-E9)</f>
        <v>1.10068008692801</v>
      </c>
      <c r="G37" s="311" t="n">
        <f aca="false">-(G9-F9)</f>
        <v>-13.6761159316108</v>
      </c>
      <c r="H37" s="311" t="n">
        <f aca="false">-(H9-G9)</f>
        <v>-15.9821097033965</v>
      </c>
      <c r="I37" s="311" t="n">
        <f aca="false">-(I9-H9)</f>
        <v>-18.6812277624636</v>
      </c>
      <c r="J37" s="311" t="n">
        <f aca="false">-(J9-I9)</f>
        <v>-21.8409944919547</v>
      </c>
    </row>
    <row r="38" customFormat="false" ht="13.5" hidden="false" customHeight="true" outlineLevel="0" collapsed="false">
      <c r="B38" s="2" t="s">
        <v>183</v>
      </c>
      <c r="D38" s="313"/>
      <c r="E38" s="313"/>
      <c r="F38" s="311" t="n">
        <f aca="false">F12-E12</f>
        <v>29.3959132572487</v>
      </c>
      <c r="G38" s="311" t="n">
        <f aca="false">G12-F12</f>
        <v>51.0867000423772</v>
      </c>
      <c r="H38" s="311" t="n">
        <f aca="false">H12-G12</f>
        <v>59.690893895348</v>
      </c>
      <c r="I38" s="311" t="n">
        <f aca="false">I12-H12</f>
        <v>69.7614739032339</v>
      </c>
      <c r="J38" s="311" t="n">
        <f aca="false">J12-I12</f>
        <v>81.550380789049</v>
      </c>
    </row>
    <row r="39" customFormat="false" ht="13.5" hidden="false" customHeight="true" outlineLevel="0" collapsed="false">
      <c r="B39" s="2" t="s">
        <v>184</v>
      </c>
      <c r="D39" s="313"/>
      <c r="E39" s="313"/>
      <c r="F39" s="311" t="n">
        <f aca="false">F13-E13</f>
        <v>23.4795703802592</v>
      </c>
      <c r="G39" s="311" t="n">
        <f aca="false">G13-F13</f>
        <v>33.1495920274981</v>
      </c>
      <c r="H39" s="311" t="n">
        <f aca="false">H13-G13</f>
        <v>38.7327578165369</v>
      </c>
      <c r="I39" s="311" t="n">
        <f aca="false">I13-H13</f>
        <v>45.2674452883206</v>
      </c>
      <c r="J39" s="311" t="n">
        <f aca="false">J13-I13</f>
        <v>52.9171359786719</v>
      </c>
    </row>
    <row r="40" customFormat="false" ht="13.5" hidden="false" customHeight="true" outlineLevel="0" collapsed="false">
      <c r="B40" s="2" t="s">
        <v>185</v>
      </c>
      <c r="D40" s="313"/>
      <c r="E40" s="313"/>
      <c r="F40" s="311" t="n">
        <f aca="false">F14-E14</f>
        <v>5.7785620413634</v>
      </c>
      <c r="G40" s="311" t="n">
        <f aca="false">G14-F14</f>
        <v>14.5029465120304</v>
      </c>
      <c r="H40" s="311" t="n">
        <f aca="false">H14-G14</f>
        <v>16.9455815447349</v>
      </c>
      <c r="I40" s="311" t="n">
        <f aca="false">I14-H14</f>
        <v>19.8045073136403</v>
      </c>
      <c r="J40" s="311" t="n">
        <f aca="false">J14-I14</f>
        <v>23.1512469906689</v>
      </c>
    </row>
    <row r="41" customFormat="false" ht="13.5" hidden="false" customHeight="true" outlineLevel="0" collapsed="false">
      <c r="B41" s="99" t="s">
        <v>186</v>
      </c>
      <c r="D41" s="313"/>
      <c r="E41" s="313"/>
      <c r="F41" s="311" t="n">
        <f aca="false">SUM(F35:F40)</f>
        <v>31.1485624708799</v>
      </c>
      <c r="G41" s="311" t="n">
        <f aca="false">SUM(G35:G40)</f>
        <v>-61.7369800264342</v>
      </c>
      <c r="H41" s="311" t="n">
        <f aca="false">SUM(H35:H40)</f>
        <v>-72.1525990208461</v>
      </c>
      <c r="I41" s="311" t="n">
        <f aca="false">SUM(I35:I40)</f>
        <v>-84.3441362364853</v>
      </c>
      <c r="J41" s="311" t="n">
        <f aca="false">SUM(J35:J40)</f>
        <v>-98.6165880407121</v>
      </c>
    </row>
    <row r="42" customFormat="false" ht="13.5" hidden="false" customHeight="true" outlineLevel="0" collapsed="false">
      <c r="D42" s="313"/>
      <c r="E42" s="313"/>
      <c r="F42" s="313"/>
      <c r="G42" s="313"/>
      <c r="H42" s="313"/>
      <c r="I42" s="313"/>
      <c r="J42" s="313"/>
    </row>
  </sheetData>
  <mergeCells count="2">
    <mergeCell ref="C3:E3"/>
    <mergeCell ref="F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195B"/>
    <pageSetUpPr fitToPage="false"/>
  </sheetPr>
  <dimension ref="A1:L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F7" activeCellId="0" sqref="F7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"/>
    <col collapsed="false" customWidth="true" hidden="false" outlineLevel="0" max="6" min="3" style="1" width="13"/>
    <col collapsed="false" customWidth="true" hidden="false" outlineLevel="0" max="9" min="7" style="1" width="12"/>
    <col collapsed="false" customWidth="true" hidden="false" outlineLevel="0" max="10" min="10" style="1" width="13.11"/>
    <col collapsed="false" customWidth="false" hidden="false" outlineLevel="0" max="254" min="11" style="1" width="9.11"/>
    <col collapsed="false" customWidth="true" hidden="false" outlineLevel="0" max="255" min="255" style="1" width="2.44"/>
    <col collapsed="false" customWidth="true" hidden="false" outlineLevel="0" max="256" min="256" style="1" width="37.56"/>
    <col collapsed="false" customWidth="false" hidden="false" outlineLevel="0" max="510" min="257" style="1" width="9.11"/>
    <col collapsed="false" customWidth="true" hidden="false" outlineLevel="0" max="511" min="511" style="1" width="2.44"/>
    <col collapsed="false" customWidth="true" hidden="false" outlineLevel="0" max="512" min="512" style="1" width="37.56"/>
    <col collapsed="false" customWidth="false" hidden="false" outlineLevel="0" max="766" min="513" style="1" width="9.11"/>
    <col collapsed="false" customWidth="true" hidden="false" outlineLevel="0" max="767" min="767" style="1" width="2.44"/>
    <col collapsed="false" customWidth="true" hidden="false" outlineLevel="0" max="768" min="768" style="1" width="37.56"/>
    <col collapsed="false" customWidth="false" hidden="false" outlineLevel="0" max="1022" min="769" style="1" width="9.11"/>
    <col collapsed="false" customWidth="true" hidden="false" outlineLevel="0" max="1023" min="1023" style="1" width="2.44"/>
    <col collapsed="false" customWidth="true" hidden="false" outlineLevel="0" max="1024" min="1024" style="1" width="37.56"/>
    <col collapsed="false" customWidth="false" hidden="false" outlineLevel="0" max="1278" min="1025" style="1" width="9.11"/>
    <col collapsed="false" customWidth="true" hidden="false" outlineLevel="0" max="1279" min="1279" style="1" width="2.44"/>
    <col collapsed="false" customWidth="true" hidden="false" outlineLevel="0" max="1280" min="1280" style="1" width="37.56"/>
    <col collapsed="false" customWidth="false" hidden="false" outlineLevel="0" max="1534" min="1281" style="1" width="9.11"/>
    <col collapsed="false" customWidth="true" hidden="false" outlineLevel="0" max="1535" min="1535" style="1" width="2.44"/>
    <col collapsed="false" customWidth="true" hidden="false" outlineLevel="0" max="1536" min="1536" style="1" width="37.56"/>
    <col collapsed="false" customWidth="false" hidden="false" outlineLevel="0" max="1790" min="1537" style="1" width="9.11"/>
    <col collapsed="false" customWidth="true" hidden="false" outlineLevel="0" max="1791" min="1791" style="1" width="2.44"/>
    <col collapsed="false" customWidth="true" hidden="false" outlineLevel="0" max="1792" min="1792" style="1" width="37.56"/>
    <col collapsed="false" customWidth="false" hidden="false" outlineLevel="0" max="2046" min="1793" style="1" width="9.11"/>
    <col collapsed="false" customWidth="true" hidden="false" outlineLevel="0" max="2047" min="2047" style="1" width="2.44"/>
    <col collapsed="false" customWidth="true" hidden="false" outlineLevel="0" max="2048" min="2048" style="1" width="37.56"/>
    <col collapsed="false" customWidth="false" hidden="false" outlineLevel="0" max="2302" min="2049" style="1" width="9.11"/>
    <col collapsed="false" customWidth="true" hidden="false" outlineLevel="0" max="2303" min="2303" style="1" width="2.44"/>
    <col collapsed="false" customWidth="true" hidden="false" outlineLevel="0" max="2304" min="2304" style="1" width="37.56"/>
    <col collapsed="false" customWidth="false" hidden="false" outlineLevel="0" max="2558" min="2305" style="1" width="9.11"/>
    <col collapsed="false" customWidth="true" hidden="false" outlineLevel="0" max="2559" min="2559" style="1" width="2.44"/>
    <col collapsed="false" customWidth="true" hidden="false" outlineLevel="0" max="2560" min="2560" style="1" width="37.56"/>
    <col collapsed="false" customWidth="false" hidden="false" outlineLevel="0" max="2814" min="2561" style="1" width="9.11"/>
    <col collapsed="false" customWidth="true" hidden="false" outlineLevel="0" max="2815" min="2815" style="1" width="2.44"/>
    <col collapsed="false" customWidth="true" hidden="false" outlineLevel="0" max="2816" min="2816" style="1" width="37.56"/>
    <col collapsed="false" customWidth="false" hidden="false" outlineLevel="0" max="3070" min="2817" style="1" width="9.11"/>
    <col collapsed="false" customWidth="true" hidden="false" outlineLevel="0" max="3071" min="3071" style="1" width="2.44"/>
    <col collapsed="false" customWidth="true" hidden="false" outlineLevel="0" max="3072" min="3072" style="1" width="37.56"/>
    <col collapsed="false" customWidth="false" hidden="false" outlineLevel="0" max="3326" min="3073" style="1" width="9.11"/>
    <col collapsed="false" customWidth="true" hidden="false" outlineLevel="0" max="3327" min="3327" style="1" width="2.44"/>
    <col collapsed="false" customWidth="true" hidden="false" outlineLevel="0" max="3328" min="3328" style="1" width="37.56"/>
    <col collapsed="false" customWidth="false" hidden="false" outlineLevel="0" max="3582" min="3329" style="1" width="9.11"/>
    <col collapsed="false" customWidth="true" hidden="false" outlineLevel="0" max="3583" min="3583" style="1" width="2.44"/>
    <col collapsed="false" customWidth="true" hidden="false" outlineLevel="0" max="3584" min="3584" style="1" width="37.56"/>
    <col collapsed="false" customWidth="false" hidden="false" outlineLevel="0" max="3838" min="3585" style="1" width="9.11"/>
    <col collapsed="false" customWidth="true" hidden="false" outlineLevel="0" max="3839" min="3839" style="1" width="2.44"/>
    <col collapsed="false" customWidth="true" hidden="false" outlineLevel="0" max="3840" min="3840" style="1" width="37.56"/>
    <col collapsed="false" customWidth="false" hidden="false" outlineLevel="0" max="4094" min="3841" style="1" width="9.11"/>
    <col collapsed="false" customWidth="true" hidden="false" outlineLevel="0" max="4095" min="4095" style="1" width="2.44"/>
    <col collapsed="false" customWidth="true" hidden="false" outlineLevel="0" max="4096" min="4096" style="1" width="37.56"/>
    <col collapsed="false" customWidth="false" hidden="false" outlineLevel="0" max="4350" min="4097" style="1" width="9.11"/>
    <col collapsed="false" customWidth="true" hidden="false" outlineLevel="0" max="4351" min="4351" style="1" width="2.44"/>
    <col collapsed="false" customWidth="true" hidden="false" outlineLevel="0" max="4352" min="4352" style="1" width="37.56"/>
    <col collapsed="false" customWidth="false" hidden="false" outlineLevel="0" max="4606" min="4353" style="1" width="9.11"/>
    <col collapsed="false" customWidth="true" hidden="false" outlineLevel="0" max="4607" min="4607" style="1" width="2.44"/>
    <col collapsed="false" customWidth="true" hidden="false" outlineLevel="0" max="4608" min="4608" style="1" width="37.56"/>
    <col collapsed="false" customWidth="false" hidden="false" outlineLevel="0" max="4862" min="4609" style="1" width="9.11"/>
    <col collapsed="false" customWidth="true" hidden="false" outlineLevel="0" max="4863" min="4863" style="1" width="2.44"/>
    <col collapsed="false" customWidth="true" hidden="false" outlineLevel="0" max="4864" min="4864" style="1" width="37.56"/>
    <col collapsed="false" customWidth="false" hidden="false" outlineLevel="0" max="5118" min="4865" style="1" width="9.11"/>
    <col collapsed="false" customWidth="true" hidden="false" outlineLevel="0" max="5119" min="5119" style="1" width="2.44"/>
    <col collapsed="false" customWidth="true" hidden="false" outlineLevel="0" max="5120" min="5120" style="1" width="37.56"/>
    <col collapsed="false" customWidth="false" hidden="false" outlineLevel="0" max="5374" min="5121" style="1" width="9.11"/>
    <col collapsed="false" customWidth="true" hidden="false" outlineLevel="0" max="5375" min="5375" style="1" width="2.44"/>
    <col collapsed="false" customWidth="true" hidden="false" outlineLevel="0" max="5376" min="5376" style="1" width="37.56"/>
    <col collapsed="false" customWidth="false" hidden="false" outlineLevel="0" max="5630" min="5377" style="1" width="9.11"/>
    <col collapsed="false" customWidth="true" hidden="false" outlineLevel="0" max="5631" min="5631" style="1" width="2.44"/>
    <col collapsed="false" customWidth="true" hidden="false" outlineLevel="0" max="5632" min="5632" style="1" width="37.56"/>
    <col collapsed="false" customWidth="false" hidden="false" outlineLevel="0" max="5886" min="5633" style="1" width="9.11"/>
    <col collapsed="false" customWidth="true" hidden="false" outlineLevel="0" max="5887" min="5887" style="1" width="2.44"/>
    <col collapsed="false" customWidth="true" hidden="false" outlineLevel="0" max="5888" min="5888" style="1" width="37.56"/>
    <col collapsed="false" customWidth="false" hidden="false" outlineLevel="0" max="6142" min="5889" style="1" width="9.11"/>
    <col collapsed="false" customWidth="true" hidden="false" outlineLevel="0" max="6143" min="6143" style="1" width="2.44"/>
    <col collapsed="false" customWidth="true" hidden="false" outlineLevel="0" max="6144" min="6144" style="1" width="37.56"/>
    <col collapsed="false" customWidth="false" hidden="false" outlineLevel="0" max="6398" min="6145" style="1" width="9.11"/>
    <col collapsed="false" customWidth="true" hidden="false" outlineLevel="0" max="6399" min="6399" style="1" width="2.44"/>
    <col collapsed="false" customWidth="true" hidden="false" outlineLevel="0" max="6400" min="6400" style="1" width="37.56"/>
    <col collapsed="false" customWidth="false" hidden="false" outlineLevel="0" max="6654" min="6401" style="1" width="9.11"/>
    <col collapsed="false" customWidth="true" hidden="false" outlineLevel="0" max="6655" min="6655" style="1" width="2.44"/>
    <col collapsed="false" customWidth="true" hidden="false" outlineLevel="0" max="6656" min="6656" style="1" width="37.56"/>
    <col collapsed="false" customWidth="false" hidden="false" outlineLevel="0" max="6910" min="6657" style="1" width="9.11"/>
    <col collapsed="false" customWidth="true" hidden="false" outlineLevel="0" max="6911" min="6911" style="1" width="2.44"/>
    <col collapsed="false" customWidth="true" hidden="false" outlineLevel="0" max="6912" min="6912" style="1" width="37.56"/>
    <col collapsed="false" customWidth="false" hidden="false" outlineLevel="0" max="7166" min="6913" style="1" width="9.11"/>
    <col collapsed="false" customWidth="true" hidden="false" outlineLevel="0" max="7167" min="7167" style="1" width="2.44"/>
    <col collapsed="false" customWidth="true" hidden="false" outlineLevel="0" max="7168" min="7168" style="1" width="37.56"/>
    <col collapsed="false" customWidth="false" hidden="false" outlineLevel="0" max="7422" min="7169" style="1" width="9.11"/>
    <col collapsed="false" customWidth="true" hidden="false" outlineLevel="0" max="7423" min="7423" style="1" width="2.44"/>
    <col collapsed="false" customWidth="true" hidden="false" outlineLevel="0" max="7424" min="7424" style="1" width="37.56"/>
    <col collapsed="false" customWidth="false" hidden="false" outlineLevel="0" max="7678" min="7425" style="1" width="9.11"/>
    <col collapsed="false" customWidth="true" hidden="false" outlineLevel="0" max="7679" min="7679" style="1" width="2.44"/>
    <col collapsed="false" customWidth="true" hidden="false" outlineLevel="0" max="7680" min="7680" style="1" width="37.56"/>
    <col collapsed="false" customWidth="false" hidden="false" outlineLevel="0" max="7934" min="7681" style="1" width="9.11"/>
    <col collapsed="false" customWidth="true" hidden="false" outlineLevel="0" max="7935" min="7935" style="1" width="2.44"/>
    <col collapsed="false" customWidth="true" hidden="false" outlineLevel="0" max="7936" min="7936" style="1" width="37.56"/>
    <col collapsed="false" customWidth="false" hidden="false" outlineLevel="0" max="8190" min="7937" style="1" width="9.11"/>
    <col collapsed="false" customWidth="true" hidden="false" outlineLevel="0" max="8191" min="8191" style="1" width="2.44"/>
    <col collapsed="false" customWidth="true" hidden="false" outlineLevel="0" max="8192" min="8192" style="1" width="37.56"/>
    <col collapsed="false" customWidth="false" hidden="false" outlineLevel="0" max="8446" min="8193" style="1" width="9.11"/>
    <col collapsed="false" customWidth="true" hidden="false" outlineLevel="0" max="8447" min="8447" style="1" width="2.44"/>
    <col collapsed="false" customWidth="true" hidden="false" outlineLevel="0" max="8448" min="8448" style="1" width="37.56"/>
    <col collapsed="false" customWidth="false" hidden="false" outlineLevel="0" max="8702" min="8449" style="1" width="9.11"/>
    <col collapsed="false" customWidth="true" hidden="false" outlineLevel="0" max="8703" min="8703" style="1" width="2.44"/>
    <col collapsed="false" customWidth="true" hidden="false" outlineLevel="0" max="8704" min="8704" style="1" width="37.56"/>
    <col collapsed="false" customWidth="false" hidden="false" outlineLevel="0" max="8958" min="8705" style="1" width="9.11"/>
    <col collapsed="false" customWidth="true" hidden="false" outlineLevel="0" max="8959" min="8959" style="1" width="2.44"/>
    <col collapsed="false" customWidth="true" hidden="false" outlineLevel="0" max="8960" min="8960" style="1" width="37.56"/>
    <col collapsed="false" customWidth="false" hidden="false" outlineLevel="0" max="9214" min="8961" style="1" width="9.11"/>
    <col collapsed="false" customWidth="true" hidden="false" outlineLevel="0" max="9215" min="9215" style="1" width="2.44"/>
    <col collapsed="false" customWidth="true" hidden="false" outlineLevel="0" max="9216" min="9216" style="1" width="37.56"/>
    <col collapsed="false" customWidth="false" hidden="false" outlineLevel="0" max="9470" min="9217" style="1" width="9.11"/>
    <col collapsed="false" customWidth="true" hidden="false" outlineLevel="0" max="9471" min="9471" style="1" width="2.44"/>
    <col collapsed="false" customWidth="true" hidden="false" outlineLevel="0" max="9472" min="9472" style="1" width="37.56"/>
    <col collapsed="false" customWidth="false" hidden="false" outlineLevel="0" max="9726" min="9473" style="1" width="9.11"/>
    <col collapsed="false" customWidth="true" hidden="false" outlineLevel="0" max="9727" min="9727" style="1" width="2.44"/>
    <col collapsed="false" customWidth="true" hidden="false" outlineLevel="0" max="9728" min="9728" style="1" width="37.56"/>
    <col collapsed="false" customWidth="false" hidden="false" outlineLevel="0" max="9982" min="9729" style="1" width="9.11"/>
    <col collapsed="false" customWidth="true" hidden="false" outlineLevel="0" max="9983" min="9983" style="1" width="2.44"/>
    <col collapsed="false" customWidth="true" hidden="false" outlineLevel="0" max="9984" min="9984" style="1" width="37.56"/>
    <col collapsed="false" customWidth="false" hidden="false" outlineLevel="0" max="10238" min="9985" style="1" width="9.11"/>
    <col collapsed="false" customWidth="true" hidden="false" outlineLevel="0" max="10239" min="10239" style="1" width="2.44"/>
    <col collapsed="false" customWidth="true" hidden="false" outlineLevel="0" max="10240" min="10240" style="1" width="37.56"/>
    <col collapsed="false" customWidth="false" hidden="false" outlineLevel="0" max="10494" min="10241" style="1" width="9.11"/>
    <col collapsed="false" customWidth="true" hidden="false" outlineLevel="0" max="10495" min="10495" style="1" width="2.44"/>
    <col collapsed="false" customWidth="true" hidden="false" outlineLevel="0" max="10496" min="10496" style="1" width="37.56"/>
    <col collapsed="false" customWidth="false" hidden="false" outlineLevel="0" max="10750" min="10497" style="1" width="9.11"/>
    <col collapsed="false" customWidth="true" hidden="false" outlineLevel="0" max="10751" min="10751" style="1" width="2.44"/>
    <col collapsed="false" customWidth="true" hidden="false" outlineLevel="0" max="10752" min="10752" style="1" width="37.56"/>
    <col collapsed="false" customWidth="false" hidden="false" outlineLevel="0" max="11006" min="10753" style="1" width="9.11"/>
    <col collapsed="false" customWidth="true" hidden="false" outlineLevel="0" max="11007" min="11007" style="1" width="2.44"/>
    <col collapsed="false" customWidth="true" hidden="false" outlineLevel="0" max="11008" min="11008" style="1" width="37.56"/>
    <col collapsed="false" customWidth="false" hidden="false" outlineLevel="0" max="11262" min="11009" style="1" width="9.11"/>
    <col collapsed="false" customWidth="true" hidden="false" outlineLevel="0" max="11263" min="11263" style="1" width="2.44"/>
    <col collapsed="false" customWidth="true" hidden="false" outlineLevel="0" max="11264" min="11264" style="1" width="37.56"/>
    <col collapsed="false" customWidth="false" hidden="false" outlineLevel="0" max="11518" min="11265" style="1" width="9.11"/>
    <col collapsed="false" customWidth="true" hidden="false" outlineLevel="0" max="11519" min="11519" style="1" width="2.44"/>
    <col collapsed="false" customWidth="true" hidden="false" outlineLevel="0" max="11520" min="11520" style="1" width="37.56"/>
    <col collapsed="false" customWidth="false" hidden="false" outlineLevel="0" max="11774" min="11521" style="1" width="9.11"/>
    <col collapsed="false" customWidth="true" hidden="false" outlineLevel="0" max="11775" min="11775" style="1" width="2.44"/>
    <col collapsed="false" customWidth="true" hidden="false" outlineLevel="0" max="11776" min="11776" style="1" width="37.56"/>
    <col collapsed="false" customWidth="false" hidden="false" outlineLevel="0" max="12030" min="11777" style="1" width="9.11"/>
    <col collapsed="false" customWidth="true" hidden="false" outlineLevel="0" max="12031" min="12031" style="1" width="2.44"/>
    <col collapsed="false" customWidth="true" hidden="false" outlineLevel="0" max="12032" min="12032" style="1" width="37.56"/>
    <col collapsed="false" customWidth="false" hidden="false" outlineLevel="0" max="12286" min="12033" style="1" width="9.11"/>
    <col collapsed="false" customWidth="true" hidden="false" outlineLevel="0" max="12287" min="12287" style="1" width="2.44"/>
    <col collapsed="false" customWidth="true" hidden="false" outlineLevel="0" max="12288" min="12288" style="1" width="37.56"/>
    <col collapsed="false" customWidth="false" hidden="false" outlineLevel="0" max="12542" min="12289" style="1" width="9.11"/>
    <col collapsed="false" customWidth="true" hidden="false" outlineLevel="0" max="12543" min="12543" style="1" width="2.44"/>
    <col collapsed="false" customWidth="true" hidden="false" outlineLevel="0" max="12544" min="12544" style="1" width="37.56"/>
    <col collapsed="false" customWidth="false" hidden="false" outlineLevel="0" max="12798" min="12545" style="1" width="9.11"/>
    <col collapsed="false" customWidth="true" hidden="false" outlineLevel="0" max="12799" min="12799" style="1" width="2.44"/>
    <col collapsed="false" customWidth="true" hidden="false" outlineLevel="0" max="12800" min="12800" style="1" width="37.56"/>
    <col collapsed="false" customWidth="false" hidden="false" outlineLevel="0" max="13054" min="12801" style="1" width="9.11"/>
    <col collapsed="false" customWidth="true" hidden="false" outlineLevel="0" max="13055" min="13055" style="1" width="2.44"/>
    <col collapsed="false" customWidth="true" hidden="false" outlineLevel="0" max="13056" min="13056" style="1" width="37.56"/>
    <col collapsed="false" customWidth="false" hidden="false" outlineLevel="0" max="13310" min="13057" style="1" width="9.11"/>
    <col collapsed="false" customWidth="true" hidden="false" outlineLevel="0" max="13311" min="13311" style="1" width="2.44"/>
    <col collapsed="false" customWidth="true" hidden="false" outlineLevel="0" max="13312" min="13312" style="1" width="37.56"/>
    <col collapsed="false" customWidth="false" hidden="false" outlineLevel="0" max="13566" min="13313" style="1" width="9.11"/>
    <col collapsed="false" customWidth="true" hidden="false" outlineLevel="0" max="13567" min="13567" style="1" width="2.44"/>
    <col collapsed="false" customWidth="true" hidden="false" outlineLevel="0" max="13568" min="13568" style="1" width="37.56"/>
    <col collapsed="false" customWidth="false" hidden="false" outlineLevel="0" max="13822" min="13569" style="1" width="9.11"/>
    <col collapsed="false" customWidth="true" hidden="false" outlineLevel="0" max="13823" min="13823" style="1" width="2.44"/>
    <col collapsed="false" customWidth="true" hidden="false" outlineLevel="0" max="13824" min="13824" style="1" width="37.56"/>
    <col collapsed="false" customWidth="false" hidden="false" outlineLevel="0" max="14078" min="13825" style="1" width="9.11"/>
    <col collapsed="false" customWidth="true" hidden="false" outlineLevel="0" max="14079" min="14079" style="1" width="2.44"/>
    <col collapsed="false" customWidth="true" hidden="false" outlineLevel="0" max="14080" min="14080" style="1" width="37.56"/>
    <col collapsed="false" customWidth="false" hidden="false" outlineLevel="0" max="14334" min="14081" style="1" width="9.11"/>
    <col collapsed="false" customWidth="true" hidden="false" outlineLevel="0" max="14335" min="14335" style="1" width="2.44"/>
    <col collapsed="false" customWidth="true" hidden="false" outlineLevel="0" max="14336" min="14336" style="1" width="37.56"/>
    <col collapsed="false" customWidth="false" hidden="false" outlineLevel="0" max="14590" min="14337" style="1" width="9.11"/>
    <col collapsed="false" customWidth="true" hidden="false" outlineLevel="0" max="14591" min="14591" style="1" width="2.44"/>
    <col collapsed="false" customWidth="true" hidden="false" outlineLevel="0" max="14592" min="14592" style="1" width="37.56"/>
    <col collapsed="false" customWidth="false" hidden="false" outlineLevel="0" max="14846" min="14593" style="1" width="9.11"/>
    <col collapsed="false" customWidth="true" hidden="false" outlineLevel="0" max="14847" min="14847" style="1" width="2.44"/>
    <col collapsed="false" customWidth="true" hidden="false" outlineLevel="0" max="14848" min="14848" style="1" width="37.56"/>
    <col collapsed="false" customWidth="false" hidden="false" outlineLevel="0" max="15102" min="14849" style="1" width="9.11"/>
    <col collapsed="false" customWidth="true" hidden="false" outlineLevel="0" max="15103" min="15103" style="1" width="2.44"/>
    <col collapsed="false" customWidth="true" hidden="false" outlineLevel="0" max="15104" min="15104" style="1" width="37.56"/>
    <col collapsed="false" customWidth="false" hidden="false" outlineLevel="0" max="15358" min="15105" style="1" width="9.11"/>
    <col collapsed="false" customWidth="true" hidden="false" outlineLevel="0" max="15359" min="15359" style="1" width="2.44"/>
    <col collapsed="false" customWidth="true" hidden="false" outlineLevel="0" max="15360" min="15360" style="1" width="37.56"/>
    <col collapsed="false" customWidth="false" hidden="false" outlineLevel="0" max="15614" min="15361" style="1" width="9.11"/>
    <col collapsed="false" customWidth="true" hidden="false" outlineLevel="0" max="15615" min="15615" style="1" width="2.44"/>
    <col collapsed="false" customWidth="true" hidden="false" outlineLevel="0" max="15616" min="15616" style="1" width="37.56"/>
    <col collapsed="false" customWidth="false" hidden="false" outlineLevel="0" max="15870" min="15617" style="1" width="9.11"/>
    <col collapsed="false" customWidth="true" hidden="false" outlineLevel="0" max="15871" min="15871" style="1" width="2.44"/>
    <col collapsed="false" customWidth="true" hidden="false" outlineLevel="0" max="15872" min="15872" style="1" width="37.56"/>
    <col collapsed="false" customWidth="false" hidden="false" outlineLevel="0" max="16126" min="15873" style="1" width="9.11"/>
    <col collapsed="false" customWidth="true" hidden="false" outlineLevel="0" max="16127" min="16127" style="1" width="2.44"/>
    <col collapsed="false" customWidth="true" hidden="false" outlineLevel="0" max="16128" min="16128" style="1" width="37.56"/>
    <col collapsed="false" customWidth="false" hidden="false" outlineLevel="0" max="16384" min="16129" style="1" width="9.11"/>
  </cols>
  <sheetData>
    <row r="1" s="2" customFormat="true" ht="21.75" hidden="false" customHeight="true" outlineLevel="0" collapsed="false">
      <c r="A1" s="335" t="s">
        <v>0</v>
      </c>
    </row>
    <row r="2" s="2" customFormat="true" ht="18" hidden="false" customHeight="true" outlineLevel="0" collapsed="false">
      <c r="B2" s="336" t="s">
        <v>187</v>
      </c>
      <c r="C2" s="5"/>
      <c r="D2" s="5"/>
      <c r="E2" s="5"/>
      <c r="F2" s="5"/>
      <c r="G2" s="5"/>
      <c r="H2" s="5"/>
      <c r="I2" s="5"/>
      <c r="J2" s="5"/>
    </row>
    <row r="3" s="2" customFormat="true" ht="13.5" hidden="false" customHeight="true" outlineLevel="0" collapsed="false"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</row>
    <row r="4" s="2" customFormat="true" ht="13.5" hidden="false" customHeight="true" outlineLevel="0" collapsed="false">
      <c r="B4" s="337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</row>
    <row r="5" customFormat="false" ht="13.5" hidden="false" customHeight="true" outlineLevel="0" collapsed="false">
      <c r="B5" s="142"/>
      <c r="C5" s="5"/>
      <c r="D5" s="5"/>
      <c r="E5" s="5"/>
      <c r="F5" s="5"/>
      <c r="G5" s="5"/>
      <c r="H5" s="5"/>
      <c r="I5" s="5"/>
      <c r="J5" s="5"/>
    </row>
    <row r="6" customFormat="false" ht="13.5" hidden="false" customHeight="true" outlineLevel="0" collapsed="false">
      <c r="B6" s="1" t="s">
        <v>14</v>
      </c>
      <c r="C6" s="338" t="n">
        <f aca="false">'Income Statement'!C5</f>
        <v>2904.94</v>
      </c>
      <c r="D6" s="338" t="n">
        <f aca="false">'Income Statement'!D5</f>
        <v>3408.0000038</v>
      </c>
      <c r="E6" s="338" t="n">
        <f aca="false">'Income Statement'!E5</f>
        <v>3958.95999668</v>
      </c>
      <c r="F6" s="339" t="n">
        <f aca="false">'Income Statement'!F5</f>
        <v>4119.9659956536</v>
      </c>
      <c r="G6" s="339" t="n">
        <f aca="false">'Income Statement'!G5</f>
        <v>4803.77179223414</v>
      </c>
      <c r="H6" s="339" t="n">
        <f aca="false">'Income Statement'!H5</f>
        <v>5602.87727740396</v>
      </c>
      <c r="I6" s="339" t="n">
        <f aca="false">'Income Statement'!I5</f>
        <v>6536.93866552714</v>
      </c>
      <c r="J6" s="339" t="n">
        <f aca="false">'Income Statement'!J5</f>
        <v>7628.98839012488</v>
      </c>
      <c r="K6" s="132"/>
    </row>
    <row r="7" customFormat="false" ht="13.5" hidden="false" customHeight="true" outlineLevel="0" collapsed="false">
      <c r="B7" s="1" t="s">
        <v>33</v>
      </c>
      <c r="C7" s="340"/>
      <c r="D7" s="341" t="n">
        <f aca="false">-'Cash Flow Statement'!D23</f>
        <v>26.466</v>
      </c>
      <c r="E7" s="341" t="n">
        <f aca="false">-'Cash Flow Statement'!E23</f>
        <v>30.735</v>
      </c>
      <c r="F7" s="342" t="n">
        <f aca="false">F6*F8</f>
        <v>32.9597279652288</v>
      </c>
      <c r="G7" s="342" t="n">
        <f aca="false">G6*G8</f>
        <v>38.4301743378731</v>
      </c>
      <c r="H7" s="342" t="n">
        <f aca="false">H6*H8</f>
        <v>44.8230182192317</v>
      </c>
      <c r="I7" s="342" t="n">
        <f aca="false">I6*I8</f>
        <v>52.2955093242171</v>
      </c>
      <c r="J7" s="342" t="n">
        <f aca="false">J6*J8</f>
        <v>61.031907120999</v>
      </c>
      <c r="K7" s="340"/>
    </row>
    <row r="8" customFormat="false" ht="13.5" hidden="false" customHeight="true" outlineLevel="0" collapsed="false">
      <c r="B8" s="343" t="s">
        <v>188</v>
      </c>
      <c r="C8" s="344"/>
      <c r="D8" s="345" t="n">
        <f aca="false">D7/D6</f>
        <v>0.00776584506176344</v>
      </c>
      <c r="E8" s="345" t="n">
        <f aca="false">E7/E6</f>
        <v>0.00776340251626046</v>
      </c>
      <c r="F8" s="346" t="n">
        <v>0.008</v>
      </c>
      <c r="G8" s="346" t="n">
        <v>0.008</v>
      </c>
      <c r="H8" s="346" t="n">
        <v>0.008</v>
      </c>
      <c r="I8" s="346" t="n">
        <v>0.008</v>
      </c>
      <c r="J8" s="346" t="n">
        <v>0.008</v>
      </c>
      <c r="L8" s="347"/>
    </row>
    <row r="10" customFormat="false" ht="13.5" hidden="false" customHeight="true" outlineLevel="0" collapsed="false">
      <c r="B10" s="1" t="s">
        <v>189</v>
      </c>
      <c r="C10" s="348"/>
      <c r="D10" s="349" t="n">
        <f aca="false">C13</f>
        <v>46.5</v>
      </c>
      <c r="E10" s="349" t="n">
        <f aca="false">D13</f>
        <v>62.3</v>
      </c>
      <c r="F10" s="350" t="n">
        <f aca="false">E13</f>
        <v>80</v>
      </c>
      <c r="G10" s="350" t="n">
        <f aca="false">F13</f>
        <v>99.6637551687059</v>
      </c>
      <c r="H10" s="350" t="n">
        <f aca="false">G13</f>
        <v>120.954939276269</v>
      </c>
      <c r="I10" s="350" t="n">
        <f aca="false">H13</f>
        <v>144.156665443267</v>
      </c>
      <c r="J10" s="350" t="n">
        <f aca="false">I13</f>
        <v>169.601331782829</v>
      </c>
    </row>
    <row r="11" customFormat="false" ht="13.5" hidden="false" customHeight="true" outlineLevel="0" collapsed="false">
      <c r="B11" s="1" t="s">
        <v>33</v>
      </c>
      <c r="C11" s="348"/>
      <c r="D11" s="349" t="n">
        <f aca="false">D7</f>
        <v>26.466</v>
      </c>
      <c r="E11" s="349" t="n">
        <f aca="false">E7</f>
        <v>30.735</v>
      </c>
      <c r="F11" s="350" t="n">
        <f aca="false">F7</f>
        <v>32.9597279652288</v>
      </c>
      <c r="G11" s="350" t="n">
        <f aca="false">G7</f>
        <v>38.4301743378731</v>
      </c>
      <c r="H11" s="350" t="n">
        <f aca="false">H7</f>
        <v>44.8230182192317</v>
      </c>
      <c r="I11" s="350" t="n">
        <f aca="false">I7</f>
        <v>52.2955093242171</v>
      </c>
      <c r="J11" s="350" t="n">
        <f aca="false">J7</f>
        <v>61.031907120999</v>
      </c>
    </row>
    <row r="12" customFormat="false" ht="13.5" hidden="false" customHeight="true" outlineLevel="0" collapsed="false">
      <c r="B12" s="1" t="s">
        <v>190</v>
      </c>
      <c r="C12" s="348"/>
      <c r="D12" s="349" t="n">
        <f aca="false">'Income Statement'!D13</f>
        <v>10.666</v>
      </c>
      <c r="E12" s="349" t="n">
        <f aca="false">'Income Statement'!E13</f>
        <v>13.035</v>
      </c>
      <c r="F12" s="350" t="n">
        <f aca="false">F28</f>
        <v>13.2959727965229</v>
      </c>
      <c r="G12" s="350" t="n">
        <f aca="false">G28</f>
        <v>17.1389902303102</v>
      </c>
      <c r="H12" s="350" t="n">
        <f aca="false">H28</f>
        <v>21.6212920522334</v>
      </c>
      <c r="I12" s="350" t="n">
        <f aca="false">I28</f>
        <v>26.8508429846551</v>
      </c>
      <c r="J12" s="350" t="n">
        <f aca="false">J28</f>
        <v>32.954033696755</v>
      </c>
    </row>
    <row r="13" customFormat="false" ht="13.5" hidden="false" customHeight="true" outlineLevel="0" collapsed="false">
      <c r="B13" s="1" t="s">
        <v>191</v>
      </c>
      <c r="C13" s="351" t="n">
        <f aca="false">'Balance Sheet'!C24</f>
        <v>46.5</v>
      </c>
      <c r="D13" s="352" t="n">
        <f aca="false">D10+D11-D12</f>
        <v>62.3</v>
      </c>
      <c r="E13" s="352" t="n">
        <f aca="false">E10+E11-E12</f>
        <v>80</v>
      </c>
      <c r="F13" s="353" t="n">
        <f aca="false">F10+F11-F12</f>
        <v>99.6637551687059</v>
      </c>
      <c r="G13" s="353" t="n">
        <f aca="false">G10+G11-G12</f>
        <v>120.954939276269</v>
      </c>
      <c r="H13" s="353" t="n">
        <f aca="false">H10+H11-H12</f>
        <v>144.156665443267</v>
      </c>
      <c r="I13" s="353" t="n">
        <f aca="false">I10+I11-I12</f>
        <v>169.601331782829</v>
      </c>
      <c r="J13" s="353" t="n">
        <f aca="false">J10+J11-J12</f>
        <v>197.679205207073</v>
      </c>
    </row>
    <row r="15" customFormat="false" ht="13.5" hidden="false" customHeight="true" outlineLevel="0" collapsed="false">
      <c r="E15" s="307" t="s">
        <v>192</v>
      </c>
    </row>
    <row r="16" customFormat="false" ht="13.5" hidden="false" customHeight="true" outlineLevel="0" collapsed="false">
      <c r="D16" s="354"/>
      <c r="E16" s="355" t="s">
        <v>193</v>
      </c>
      <c r="F16" s="356"/>
      <c r="G16" s="356"/>
      <c r="H16" s="356"/>
      <c r="I16" s="356"/>
      <c r="J16" s="356"/>
    </row>
    <row r="17" customFormat="false" ht="13.5" hidden="false" customHeight="true" outlineLevel="0" collapsed="false">
      <c r="B17" s="1" t="s">
        <v>194</v>
      </c>
      <c r="C17" s="357" t="n">
        <f aca="false">E13</f>
        <v>80</v>
      </c>
      <c r="D17" s="358"/>
      <c r="E17" s="355" t="s">
        <v>154</v>
      </c>
      <c r="F17" s="359" t="n">
        <f aca="false">$C17/$C18</f>
        <v>10</v>
      </c>
      <c r="G17" s="359" t="n">
        <f aca="false">$C17/$C18</f>
        <v>10</v>
      </c>
      <c r="H17" s="359" t="n">
        <f aca="false">$C17/$C18</f>
        <v>10</v>
      </c>
      <c r="I17" s="359" t="n">
        <f aca="false">$C17/$C18</f>
        <v>10</v>
      </c>
      <c r="J17" s="359" t="n">
        <f aca="false">$C17/$C18</f>
        <v>10</v>
      </c>
    </row>
    <row r="18" customFormat="false" ht="13.5" hidden="false" customHeight="true" outlineLevel="0" collapsed="false">
      <c r="B18" s="360" t="s">
        <v>153</v>
      </c>
      <c r="C18" s="361" t="n">
        <v>8</v>
      </c>
      <c r="D18" s="355" t="s">
        <v>154</v>
      </c>
      <c r="F18" s="362"/>
      <c r="G18" s="362"/>
      <c r="H18" s="362"/>
      <c r="I18" s="362"/>
      <c r="J18" s="362"/>
    </row>
    <row r="19" customFormat="false" ht="13.5" hidden="false" customHeight="true" outlineLevel="0" collapsed="false">
      <c r="B19" s="1" t="s">
        <v>195</v>
      </c>
    </row>
    <row r="21" customFormat="false" ht="13.5" hidden="false" customHeight="true" outlineLevel="0" collapsed="false">
      <c r="C21" s="307" t="s">
        <v>196</v>
      </c>
      <c r="D21" s="363" t="s">
        <v>153</v>
      </c>
      <c r="E21" s="363"/>
    </row>
    <row r="22" customFormat="false" ht="13.5" hidden="false" customHeight="true" outlineLevel="0" collapsed="false">
      <c r="B22" s="309" t="s">
        <v>9</v>
      </c>
      <c r="C22" s="364" t="n">
        <f aca="false" t="array" ref="C22:C26">TRANSPOSE(F11:J11)</f>
        <v>32.9597279652288</v>
      </c>
      <c r="D22" s="361" t="n">
        <v>10</v>
      </c>
      <c r="E22" s="355" t="s">
        <v>154</v>
      </c>
      <c r="F22" s="353" t="n">
        <f aca="false">$C22/$D22</f>
        <v>3.29597279652288</v>
      </c>
      <c r="G22" s="353" t="n">
        <f aca="false">$C22/$D22</f>
        <v>3.29597279652288</v>
      </c>
      <c r="H22" s="353" t="n">
        <f aca="false">$C22/$D22</f>
        <v>3.29597279652288</v>
      </c>
      <c r="I22" s="353" t="n">
        <f aca="false">$C22/$D22</f>
        <v>3.29597279652288</v>
      </c>
      <c r="J22" s="353" t="n">
        <f aca="false">$C22/$D22</f>
        <v>3.29597279652288</v>
      </c>
    </row>
    <row r="23" customFormat="false" ht="13.5" hidden="false" customHeight="true" outlineLevel="0" collapsed="false">
      <c r="B23" s="309" t="s">
        <v>10</v>
      </c>
      <c r="C23" s="365" t="n">
        <v>38.4301743378731</v>
      </c>
      <c r="D23" s="361" t="n">
        <v>10</v>
      </c>
      <c r="F23" s="366"/>
      <c r="G23" s="353" t="n">
        <f aca="false">$C23/$D23</f>
        <v>3.84301743378731</v>
      </c>
      <c r="H23" s="353" t="n">
        <f aca="false">$C23/$D23</f>
        <v>3.84301743378731</v>
      </c>
      <c r="I23" s="353" t="n">
        <f aca="false">$C23/$D23</f>
        <v>3.84301743378731</v>
      </c>
      <c r="J23" s="353" t="n">
        <f aca="false">$C23/$D23</f>
        <v>3.84301743378731</v>
      </c>
    </row>
    <row r="24" customFormat="false" ht="13.5" hidden="false" customHeight="true" outlineLevel="0" collapsed="false">
      <c r="B24" s="309" t="s">
        <v>11</v>
      </c>
      <c r="C24" s="367" t="n">
        <v>44.8230182192317</v>
      </c>
      <c r="D24" s="361" t="n">
        <v>10</v>
      </c>
      <c r="F24" s="366"/>
      <c r="G24" s="366"/>
      <c r="H24" s="353" t="n">
        <f aca="false">$C24/$D24</f>
        <v>4.48230182192317</v>
      </c>
      <c r="I24" s="353" t="n">
        <f aca="false">$C24/$D24</f>
        <v>4.48230182192317</v>
      </c>
      <c r="J24" s="353" t="n">
        <f aca="false">$C24/$D24</f>
        <v>4.48230182192317</v>
      </c>
    </row>
    <row r="25" customFormat="false" ht="13.5" hidden="false" customHeight="true" outlineLevel="0" collapsed="false">
      <c r="B25" s="309" t="s">
        <v>12</v>
      </c>
      <c r="C25" s="367" t="n">
        <v>52.2955093242171</v>
      </c>
      <c r="D25" s="361" t="n">
        <v>10</v>
      </c>
      <c r="F25" s="366"/>
      <c r="G25" s="366"/>
      <c r="H25" s="366"/>
      <c r="I25" s="353" t="n">
        <f aca="false">$C25/$D25</f>
        <v>5.22955093242171</v>
      </c>
      <c r="J25" s="353" t="n">
        <f aca="false">$C25/$D25</f>
        <v>5.22955093242171</v>
      </c>
    </row>
    <row r="26" customFormat="false" ht="13.5" hidden="false" customHeight="true" outlineLevel="0" collapsed="false">
      <c r="B26" s="309" t="s">
        <v>13</v>
      </c>
      <c r="C26" s="367" t="n">
        <v>61.031907120999</v>
      </c>
      <c r="D26" s="361" t="n">
        <v>10</v>
      </c>
      <c r="F26" s="366"/>
      <c r="G26" s="366"/>
      <c r="H26" s="366"/>
      <c r="I26" s="366"/>
      <c r="J26" s="353" t="n">
        <f aca="false">$C26/$D26</f>
        <v>6.1031907120999</v>
      </c>
    </row>
    <row r="28" customFormat="false" ht="13.5" hidden="false" customHeight="true" outlineLevel="0" collapsed="false">
      <c r="B28" s="1" t="s">
        <v>197</v>
      </c>
      <c r="C28" s="368"/>
      <c r="D28" s="368"/>
      <c r="E28" s="368"/>
      <c r="F28" s="353" t="n">
        <f aca="false">SUM(F17:F27)</f>
        <v>13.2959727965229</v>
      </c>
      <c r="G28" s="353" t="n">
        <f aca="false">SUM(G17:G27)</f>
        <v>17.1389902303102</v>
      </c>
      <c r="H28" s="353" t="n">
        <f aca="false">SUM(H17:H27)</f>
        <v>21.6212920522334</v>
      </c>
      <c r="I28" s="353" t="n">
        <f aca="false">SUM(I17:I27)</f>
        <v>26.8508429846551</v>
      </c>
      <c r="J28" s="353" t="n">
        <f aca="false">SUM(J17:J27)</f>
        <v>32.954033696755</v>
      </c>
    </row>
    <row r="30" customFormat="false" ht="13.5" hidden="false" customHeight="true" outlineLevel="0" collapsed="false">
      <c r="C30" s="344"/>
      <c r="D30" s="344"/>
      <c r="E30" s="344"/>
      <c r="F30" s="344"/>
      <c r="G30" s="344"/>
      <c r="H30" s="344"/>
      <c r="I30" s="344"/>
      <c r="J30" s="344"/>
    </row>
  </sheetData>
  <mergeCells count="3">
    <mergeCell ref="C3:E3"/>
    <mergeCell ref="F3:J3"/>
    <mergeCell ref="D21:E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6E45"/>
    <pageSetUpPr fitToPage="false"/>
  </sheetPr>
  <dimension ref="A1:Q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F12" activeCellId="0" sqref="F12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34"/>
    <col collapsed="false" customWidth="true" hidden="false" outlineLevel="0" max="6" min="3" style="2" width="13"/>
    <col collapsed="false" customWidth="true" hidden="false" outlineLevel="0" max="9" min="7" style="2" width="12"/>
    <col collapsed="false" customWidth="true" hidden="false" outlineLevel="0" max="10" min="10" style="2" width="13.11"/>
    <col collapsed="false" customWidth="false" hidden="false" outlineLevel="0" max="254" min="11" style="2" width="9.11"/>
    <col collapsed="false" customWidth="true" hidden="false" outlineLevel="0" max="255" min="255" style="2" width="2.44"/>
    <col collapsed="false" customWidth="true" hidden="false" outlineLevel="0" max="256" min="256" style="2" width="37.56"/>
    <col collapsed="false" customWidth="true" hidden="false" outlineLevel="0" max="257" min="257" style="2" width="12.56"/>
    <col collapsed="false" customWidth="true" hidden="false" outlineLevel="0" max="266" min="258" style="2" width="13.44"/>
    <col collapsed="false" customWidth="false" hidden="false" outlineLevel="0" max="510" min="267" style="2" width="9.11"/>
    <col collapsed="false" customWidth="true" hidden="false" outlineLevel="0" max="511" min="511" style="2" width="2.44"/>
    <col collapsed="false" customWidth="true" hidden="false" outlineLevel="0" max="512" min="512" style="2" width="37.56"/>
    <col collapsed="false" customWidth="true" hidden="false" outlineLevel="0" max="513" min="513" style="2" width="12.56"/>
    <col collapsed="false" customWidth="true" hidden="false" outlineLevel="0" max="522" min="514" style="2" width="13.44"/>
    <col collapsed="false" customWidth="false" hidden="false" outlineLevel="0" max="766" min="523" style="2" width="9.11"/>
    <col collapsed="false" customWidth="true" hidden="false" outlineLevel="0" max="767" min="767" style="2" width="2.44"/>
    <col collapsed="false" customWidth="true" hidden="false" outlineLevel="0" max="768" min="768" style="2" width="37.56"/>
    <col collapsed="false" customWidth="true" hidden="false" outlineLevel="0" max="769" min="769" style="2" width="12.56"/>
    <col collapsed="false" customWidth="true" hidden="false" outlineLevel="0" max="778" min="770" style="2" width="13.44"/>
    <col collapsed="false" customWidth="false" hidden="false" outlineLevel="0" max="1022" min="779" style="2" width="9.11"/>
    <col collapsed="false" customWidth="true" hidden="false" outlineLevel="0" max="1023" min="1023" style="2" width="2.44"/>
    <col collapsed="false" customWidth="true" hidden="false" outlineLevel="0" max="1024" min="1024" style="2" width="37.56"/>
    <col collapsed="false" customWidth="true" hidden="false" outlineLevel="0" max="1025" min="1025" style="2" width="12.56"/>
    <col collapsed="false" customWidth="true" hidden="false" outlineLevel="0" max="1034" min="1026" style="2" width="13.44"/>
    <col collapsed="false" customWidth="false" hidden="false" outlineLevel="0" max="1278" min="1035" style="2" width="9.11"/>
    <col collapsed="false" customWidth="true" hidden="false" outlineLevel="0" max="1279" min="1279" style="2" width="2.44"/>
    <col collapsed="false" customWidth="true" hidden="false" outlineLevel="0" max="1280" min="1280" style="2" width="37.56"/>
    <col collapsed="false" customWidth="true" hidden="false" outlineLevel="0" max="1281" min="1281" style="2" width="12.56"/>
    <col collapsed="false" customWidth="true" hidden="false" outlineLevel="0" max="1290" min="1282" style="2" width="13.44"/>
    <col collapsed="false" customWidth="false" hidden="false" outlineLevel="0" max="1534" min="1291" style="2" width="9.11"/>
    <col collapsed="false" customWidth="true" hidden="false" outlineLevel="0" max="1535" min="1535" style="2" width="2.44"/>
    <col collapsed="false" customWidth="true" hidden="false" outlineLevel="0" max="1536" min="1536" style="2" width="37.56"/>
    <col collapsed="false" customWidth="true" hidden="false" outlineLevel="0" max="1537" min="1537" style="2" width="12.56"/>
    <col collapsed="false" customWidth="true" hidden="false" outlineLevel="0" max="1546" min="1538" style="2" width="13.44"/>
    <col collapsed="false" customWidth="false" hidden="false" outlineLevel="0" max="1790" min="1547" style="2" width="9.11"/>
    <col collapsed="false" customWidth="true" hidden="false" outlineLevel="0" max="1791" min="1791" style="2" width="2.44"/>
    <col collapsed="false" customWidth="true" hidden="false" outlineLevel="0" max="1792" min="1792" style="2" width="37.56"/>
    <col collapsed="false" customWidth="true" hidden="false" outlineLevel="0" max="1793" min="1793" style="2" width="12.56"/>
    <col collapsed="false" customWidth="true" hidden="false" outlineLevel="0" max="1802" min="1794" style="2" width="13.44"/>
    <col collapsed="false" customWidth="false" hidden="false" outlineLevel="0" max="2046" min="1803" style="2" width="9.11"/>
    <col collapsed="false" customWidth="true" hidden="false" outlineLevel="0" max="2047" min="2047" style="2" width="2.44"/>
    <col collapsed="false" customWidth="true" hidden="false" outlineLevel="0" max="2048" min="2048" style="2" width="37.56"/>
    <col collapsed="false" customWidth="true" hidden="false" outlineLevel="0" max="2049" min="2049" style="2" width="12.56"/>
    <col collapsed="false" customWidth="true" hidden="false" outlineLevel="0" max="2058" min="2050" style="2" width="13.44"/>
    <col collapsed="false" customWidth="false" hidden="false" outlineLevel="0" max="2302" min="2059" style="2" width="9.11"/>
    <col collapsed="false" customWidth="true" hidden="false" outlineLevel="0" max="2303" min="2303" style="2" width="2.44"/>
    <col collapsed="false" customWidth="true" hidden="false" outlineLevel="0" max="2304" min="2304" style="2" width="37.56"/>
    <col collapsed="false" customWidth="true" hidden="false" outlineLevel="0" max="2305" min="2305" style="2" width="12.56"/>
    <col collapsed="false" customWidth="true" hidden="false" outlineLevel="0" max="2314" min="2306" style="2" width="13.44"/>
    <col collapsed="false" customWidth="false" hidden="false" outlineLevel="0" max="2558" min="2315" style="2" width="9.11"/>
    <col collapsed="false" customWidth="true" hidden="false" outlineLevel="0" max="2559" min="2559" style="2" width="2.44"/>
    <col collapsed="false" customWidth="true" hidden="false" outlineLevel="0" max="2560" min="2560" style="2" width="37.56"/>
    <col collapsed="false" customWidth="true" hidden="false" outlineLevel="0" max="2561" min="2561" style="2" width="12.56"/>
    <col collapsed="false" customWidth="true" hidden="false" outlineLevel="0" max="2570" min="2562" style="2" width="13.44"/>
    <col collapsed="false" customWidth="false" hidden="false" outlineLevel="0" max="2814" min="2571" style="2" width="9.11"/>
    <col collapsed="false" customWidth="true" hidden="false" outlineLevel="0" max="2815" min="2815" style="2" width="2.44"/>
    <col collapsed="false" customWidth="true" hidden="false" outlineLevel="0" max="2816" min="2816" style="2" width="37.56"/>
    <col collapsed="false" customWidth="true" hidden="false" outlineLevel="0" max="2817" min="2817" style="2" width="12.56"/>
    <col collapsed="false" customWidth="true" hidden="false" outlineLevel="0" max="2826" min="2818" style="2" width="13.44"/>
    <col collapsed="false" customWidth="false" hidden="false" outlineLevel="0" max="3070" min="2827" style="2" width="9.11"/>
    <col collapsed="false" customWidth="true" hidden="false" outlineLevel="0" max="3071" min="3071" style="2" width="2.44"/>
    <col collapsed="false" customWidth="true" hidden="false" outlineLevel="0" max="3072" min="3072" style="2" width="37.56"/>
    <col collapsed="false" customWidth="true" hidden="false" outlineLevel="0" max="3073" min="3073" style="2" width="12.56"/>
    <col collapsed="false" customWidth="true" hidden="false" outlineLevel="0" max="3082" min="3074" style="2" width="13.44"/>
    <col collapsed="false" customWidth="false" hidden="false" outlineLevel="0" max="3326" min="3083" style="2" width="9.11"/>
    <col collapsed="false" customWidth="true" hidden="false" outlineLevel="0" max="3327" min="3327" style="2" width="2.44"/>
    <col collapsed="false" customWidth="true" hidden="false" outlineLevel="0" max="3328" min="3328" style="2" width="37.56"/>
    <col collapsed="false" customWidth="true" hidden="false" outlineLevel="0" max="3329" min="3329" style="2" width="12.56"/>
    <col collapsed="false" customWidth="true" hidden="false" outlineLevel="0" max="3338" min="3330" style="2" width="13.44"/>
    <col collapsed="false" customWidth="false" hidden="false" outlineLevel="0" max="3582" min="3339" style="2" width="9.11"/>
    <col collapsed="false" customWidth="true" hidden="false" outlineLevel="0" max="3583" min="3583" style="2" width="2.44"/>
    <col collapsed="false" customWidth="true" hidden="false" outlineLevel="0" max="3584" min="3584" style="2" width="37.56"/>
    <col collapsed="false" customWidth="true" hidden="false" outlineLevel="0" max="3585" min="3585" style="2" width="12.56"/>
    <col collapsed="false" customWidth="true" hidden="false" outlineLevel="0" max="3594" min="3586" style="2" width="13.44"/>
    <col collapsed="false" customWidth="false" hidden="false" outlineLevel="0" max="3838" min="3595" style="2" width="9.11"/>
    <col collapsed="false" customWidth="true" hidden="false" outlineLevel="0" max="3839" min="3839" style="2" width="2.44"/>
    <col collapsed="false" customWidth="true" hidden="false" outlineLevel="0" max="3840" min="3840" style="2" width="37.56"/>
    <col collapsed="false" customWidth="true" hidden="false" outlineLevel="0" max="3841" min="3841" style="2" width="12.56"/>
    <col collapsed="false" customWidth="true" hidden="false" outlineLevel="0" max="3850" min="3842" style="2" width="13.44"/>
    <col collapsed="false" customWidth="false" hidden="false" outlineLevel="0" max="4094" min="3851" style="2" width="9.11"/>
    <col collapsed="false" customWidth="true" hidden="false" outlineLevel="0" max="4095" min="4095" style="2" width="2.44"/>
    <col collapsed="false" customWidth="true" hidden="false" outlineLevel="0" max="4096" min="4096" style="2" width="37.56"/>
    <col collapsed="false" customWidth="true" hidden="false" outlineLevel="0" max="4097" min="4097" style="2" width="12.56"/>
    <col collapsed="false" customWidth="true" hidden="false" outlineLevel="0" max="4106" min="4098" style="2" width="13.44"/>
    <col collapsed="false" customWidth="false" hidden="false" outlineLevel="0" max="4350" min="4107" style="2" width="9.11"/>
    <col collapsed="false" customWidth="true" hidden="false" outlineLevel="0" max="4351" min="4351" style="2" width="2.44"/>
    <col collapsed="false" customWidth="true" hidden="false" outlineLevel="0" max="4352" min="4352" style="2" width="37.56"/>
    <col collapsed="false" customWidth="true" hidden="false" outlineLevel="0" max="4353" min="4353" style="2" width="12.56"/>
    <col collapsed="false" customWidth="true" hidden="false" outlineLevel="0" max="4362" min="4354" style="2" width="13.44"/>
    <col collapsed="false" customWidth="false" hidden="false" outlineLevel="0" max="4606" min="4363" style="2" width="9.11"/>
    <col collapsed="false" customWidth="true" hidden="false" outlineLevel="0" max="4607" min="4607" style="2" width="2.44"/>
    <col collapsed="false" customWidth="true" hidden="false" outlineLevel="0" max="4608" min="4608" style="2" width="37.56"/>
    <col collapsed="false" customWidth="true" hidden="false" outlineLevel="0" max="4609" min="4609" style="2" width="12.56"/>
    <col collapsed="false" customWidth="true" hidden="false" outlineLevel="0" max="4618" min="4610" style="2" width="13.44"/>
    <col collapsed="false" customWidth="false" hidden="false" outlineLevel="0" max="4862" min="4619" style="2" width="9.11"/>
    <col collapsed="false" customWidth="true" hidden="false" outlineLevel="0" max="4863" min="4863" style="2" width="2.44"/>
    <col collapsed="false" customWidth="true" hidden="false" outlineLevel="0" max="4864" min="4864" style="2" width="37.56"/>
    <col collapsed="false" customWidth="true" hidden="false" outlineLevel="0" max="4865" min="4865" style="2" width="12.56"/>
    <col collapsed="false" customWidth="true" hidden="false" outlineLevel="0" max="4874" min="4866" style="2" width="13.44"/>
    <col collapsed="false" customWidth="false" hidden="false" outlineLevel="0" max="5118" min="4875" style="2" width="9.11"/>
    <col collapsed="false" customWidth="true" hidden="false" outlineLevel="0" max="5119" min="5119" style="2" width="2.44"/>
    <col collapsed="false" customWidth="true" hidden="false" outlineLevel="0" max="5120" min="5120" style="2" width="37.56"/>
    <col collapsed="false" customWidth="true" hidden="false" outlineLevel="0" max="5121" min="5121" style="2" width="12.56"/>
    <col collapsed="false" customWidth="true" hidden="false" outlineLevel="0" max="5130" min="5122" style="2" width="13.44"/>
    <col collapsed="false" customWidth="false" hidden="false" outlineLevel="0" max="5374" min="5131" style="2" width="9.11"/>
    <col collapsed="false" customWidth="true" hidden="false" outlineLevel="0" max="5375" min="5375" style="2" width="2.44"/>
    <col collapsed="false" customWidth="true" hidden="false" outlineLevel="0" max="5376" min="5376" style="2" width="37.56"/>
    <col collapsed="false" customWidth="true" hidden="false" outlineLevel="0" max="5377" min="5377" style="2" width="12.56"/>
    <col collapsed="false" customWidth="true" hidden="false" outlineLevel="0" max="5386" min="5378" style="2" width="13.44"/>
    <col collapsed="false" customWidth="false" hidden="false" outlineLevel="0" max="5630" min="5387" style="2" width="9.11"/>
    <col collapsed="false" customWidth="true" hidden="false" outlineLevel="0" max="5631" min="5631" style="2" width="2.44"/>
    <col collapsed="false" customWidth="true" hidden="false" outlineLevel="0" max="5632" min="5632" style="2" width="37.56"/>
    <col collapsed="false" customWidth="true" hidden="false" outlineLevel="0" max="5633" min="5633" style="2" width="12.56"/>
    <col collapsed="false" customWidth="true" hidden="false" outlineLevel="0" max="5642" min="5634" style="2" width="13.44"/>
    <col collapsed="false" customWidth="false" hidden="false" outlineLevel="0" max="5886" min="5643" style="2" width="9.11"/>
    <col collapsed="false" customWidth="true" hidden="false" outlineLevel="0" max="5887" min="5887" style="2" width="2.44"/>
    <col collapsed="false" customWidth="true" hidden="false" outlineLevel="0" max="5888" min="5888" style="2" width="37.56"/>
    <col collapsed="false" customWidth="true" hidden="false" outlineLevel="0" max="5889" min="5889" style="2" width="12.56"/>
    <col collapsed="false" customWidth="true" hidden="false" outlineLevel="0" max="5898" min="5890" style="2" width="13.44"/>
    <col collapsed="false" customWidth="false" hidden="false" outlineLevel="0" max="6142" min="5899" style="2" width="9.11"/>
    <col collapsed="false" customWidth="true" hidden="false" outlineLevel="0" max="6143" min="6143" style="2" width="2.44"/>
    <col collapsed="false" customWidth="true" hidden="false" outlineLevel="0" max="6144" min="6144" style="2" width="37.56"/>
    <col collapsed="false" customWidth="true" hidden="false" outlineLevel="0" max="6145" min="6145" style="2" width="12.56"/>
    <col collapsed="false" customWidth="true" hidden="false" outlineLevel="0" max="6154" min="6146" style="2" width="13.44"/>
    <col collapsed="false" customWidth="false" hidden="false" outlineLevel="0" max="6398" min="6155" style="2" width="9.11"/>
    <col collapsed="false" customWidth="true" hidden="false" outlineLevel="0" max="6399" min="6399" style="2" width="2.44"/>
    <col collapsed="false" customWidth="true" hidden="false" outlineLevel="0" max="6400" min="6400" style="2" width="37.56"/>
    <col collapsed="false" customWidth="true" hidden="false" outlineLevel="0" max="6401" min="6401" style="2" width="12.56"/>
    <col collapsed="false" customWidth="true" hidden="false" outlineLevel="0" max="6410" min="6402" style="2" width="13.44"/>
    <col collapsed="false" customWidth="false" hidden="false" outlineLevel="0" max="6654" min="6411" style="2" width="9.11"/>
    <col collapsed="false" customWidth="true" hidden="false" outlineLevel="0" max="6655" min="6655" style="2" width="2.44"/>
    <col collapsed="false" customWidth="true" hidden="false" outlineLevel="0" max="6656" min="6656" style="2" width="37.56"/>
    <col collapsed="false" customWidth="true" hidden="false" outlineLevel="0" max="6657" min="6657" style="2" width="12.56"/>
    <col collapsed="false" customWidth="true" hidden="false" outlineLevel="0" max="6666" min="6658" style="2" width="13.44"/>
    <col collapsed="false" customWidth="false" hidden="false" outlineLevel="0" max="6910" min="6667" style="2" width="9.11"/>
    <col collapsed="false" customWidth="true" hidden="false" outlineLevel="0" max="6911" min="6911" style="2" width="2.44"/>
    <col collapsed="false" customWidth="true" hidden="false" outlineLevel="0" max="6912" min="6912" style="2" width="37.56"/>
    <col collapsed="false" customWidth="true" hidden="false" outlineLevel="0" max="6913" min="6913" style="2" width="12.56"/>
    <col collapsed="false" customWidth="true" hidden="false" outlineLevel="0" max="6922" min="6914" style="2" width="13.44"/>
    <col collapsed="false" customWidth="false" hidden="false" outlineLevel="0" max="7166" min="6923" style="2" width="9.11"/>
    <col collapsed="false" customWidth="true" hidden="false" outlineLevel="0" max="7167" min="7167" style="2" width="2.44"/>
    <col collapsed="false" customWidth="true" hidden="false" outlineLevel="0" max="7168" min="7168" style="2" width="37.56"/>
    <col collapsed="false" customWidth="true" hidden="false" outlineLevel="0" max="7169" min="7169" style="2" width="12.56"/>
    <col collapsed="false" customWidth="true" hidden="false" outlineLevel="0" max="7178" min="7170" style="2" width="13.44"/>
    <col collapsed="false" customWidth="false" hidden="false" outlineLevel="0" max="7422" min="7179" style="2" width="9.11"/>
    <col collapsed="false" customWidth="true" hidden="false" outlineLevel="0" max="7423" min="7423" style="2" width="2.44"/>
    <col collapsed="false" customWidth="true" hidden="false" outlineLevel="0" max="7424" min="7424" style="2" width="37.56"/>
    <col collapsed="false" customWidth="true" hidden="false" outlineLevel="0" max="7425" min="7425" style="2" width="12.56"/>
    <col collapsed="false" customWidth="true" hidden="false" outlineLevel="0" max="7434" min="7426" style="2" width="13.44"/>
    <col collapsed="false" customWidth="false" hidden="false" outlineLevel="0" max="7678" min="7435" style="2" width="9.11"/>
    <col collapsed="false" customWidth="true" hidden="false" outlineLevel="0" max="7679" min="7679" style="2" width="2.44"/>
    <col collapsed="false" customWidth="true" hidden="false" outlineLevel="0" max="7680" min="7680" style="2" width="37.56"/>
    <col collapsed="false" customWidth="true" hidden="false" outlineLevel="0" max="7681" min="7681" style="2" width="12.56"/>
    <col collapsed="false" customWidth="true" hidden="false" outlineLevel="0" max="7690" min="7682" style="2" width="13.44"/>
    <col collapsed="false" customWidth="false" hidden="false" outlineLevel="0" max="7934" min="7691" style="2" width="9.11"/>
    <col collapsed="false" customWidth="true" hidden="false" outlineLevel="0" max="7935" min="7935" style="2" width="2.44"/>
    <col collapsed="false" customWidth="true" hidden="false" outlineLevel="0" max="7936" min="7936" style="2" width="37.56"/>
    <col collapsed="false" customWidth="true" hidden="false" outlineLevel="0" max="7937" min="7937" style="2" width="12.56"/>
    <col collapsed="false" customWidth="true" hidden="false" outlineLevel="0" max="7946" min="7938" style="2" width="13.44"/>
    <col collapsed="false" customWidth="false" hidden="false" outlineLevel="0" max="8190" min="7947" style="2" width="9.11"/>
    <col collapsed="false" customWidth="true" hidden="false" outlineLevel="0" max="8191" min="8191" style="2" width="2.44"/>
    <col collapsed="false" customWidth="true" hidden="false" outlineLevel="0" max="8192" min="8192" style="2" width="37.56"/>
    <col collapsed="false" customWidth="true" hidden="false" outlineLevel="0" max="8193" min="8193" style="2" width="12.56"/>
    <col collapsed="false" customWidth="true" hidden="false" outlineLevel="0" max="8202" min="8194" style="2" width="13.44"/>
    <col collapsed="false" customWidth="false" hidden="false" outlineLevel="0" max="8446" min="8203" style="2" width="9.11"/>
    <col collapsed="false" customWidth="true" hidden="false" outlineLevel="0" max="8447" min="8447" style="2" width="2.44"/>
    <col collapsed="false" customWidth="true" hidden="false" outlineLevel="0" max="8448" min="8448" style="2" width="37.56"/>
    <col collapsed="false" customWidth="true" hidden="false" outlineLevel="0" max="8449" min="8449" style="2" width="12.56"/>
    <col collapsed="false" customWidth="true" hidden="false" outlineLevel="0" max="8458" min="8450" style="2" width="13.44"/>
    <col collapsed="false" customWidth="false" hidden="false" outlineLevel="0" max="8702" min="8459" style="2" width="9.11"/>
    <col collapsed="false" customWidth="true" hidden="false" outlineLevel="0" max="8703" min="8703" style="2" width="2.44"/>
    <col collapsed="false" customWidth="true" hidden="false" outlineLevel="0" max="8704" min="8704" style="2" width="37.56"/>
    <col collapsed="false" customWidth="true" hidden="false" outlineLevel="0" max="8705" min="8705" style="2" width="12.56"/>
    <col collapsed="false" customWidth="true" hidden="false" outlineLevel="0" max="8714" min="8706" style="2" width="13.44"/>
    <col collapsed="false" customWidth="false" hidden="false" outlineLevel="0" max="8958" min="8715" style="2" width="9.11"/>
    <col collapsed="false" customWidth="true" hidden="false" outlineLevel="0" max="8959" min="8959" style="2" width="2.44"/>
    <col collapsed="false" customWidth="true" hidden="false" outlineLevel="0" max="8960" min="8960" style="2" width="37.56"/>
    <col collapsed="false" customWidth="true" hidden="false" outlineLevel="0" max="8961" min="8961" style="2" width="12.56"/>
    <col collapsed="false" customWidth="true" hidden="false" outlineLevel="0" max="8970" min="8962" style="2" width="13.44"/>
    <col collapsed="false" customWidth="false" hidden="false" outlineLevel="0" max="9214" min="8971" style="2" width="9.11"/>
    <col collapsed="false" customWidth="true" hidden="false" outlineLevel="0" max="9215" min="9215" style="2" width="2.44"/>
    <col collapsed="false" customWidth="true" hidden="false" outlineLevel="0" max="9216" min="9216" style="2" width="37.56"/>
    <col collapsed="false" customWidth="true" hidden="false" outlineLevel="0" max="9217" min="9217" style="2" width="12.56"/>
    <col collapsed="false" customWidth="true" hidden="false" outlineLevel="0" max="9226" min="9218" style="2" width="13.44"/>
    <col collapsed="false" customWidth="false" hidden="false" outlineLevel="0" max="9470" min="9227" style="2" width="9.11"/>
    <col collapsed="false" customWidth="true" hidden="false" outlineLevel="0" max="9471" min="9471" style="2" width="2.44"/>
    <col collapsed="false" customWidth="true" hidden="false" outlineLevel="0" max="9472" min="9472" style="2" width="37.56"/>
    <col collapsed="false" customWidth="true" hidden="false" outlineLevel="0" max="9473" min="9473" style="2" width="12.56"/>
    <col collapsed="false" customWidth="true" hidden="false" outlineLevel="0" max="9482" min="9474" style="2" width="13.44"/>
    <col collapsed="false" customWidth="false" hidden="false" outlineLevel="0" max="9726" min="9483" style="2" width="9.11"/>
    <col collapsed="false" customWidth="true" hidden="false" outlineLevel="0" max="9727" min="9727" style="2" width="2.44"/>
    <col collapsed="false" customWidth="true" hidden="false" outlineLevel="0" max="9728" min="9728" style="2" width="37.56"/>
    <col collapsed="false" customWidth="true" hidden="false" outlineLevel="0" max="9729" min="9729" style="2" width="12.56"/>
    <col collapsed="false" customWidth="true" hidden="false" outlineLevel="0" max="9738" min="9730" style="2" width="13.44"/>
    <col collapsed="false" customWidth="false" hidden="false" outlineLevel="0" max="9982" min="9739" style="2" width="9.11"/>
    <col collapsed="false" customWidth="true" hidden="false" outlineLevel="0" max="9983" min="9983" style="2" width="2.44"/>
    <col collapsed="false" customWidth="true" hidden="false" outlineLevel="0" max="9984" min="9984" style="2" width="37.56"/>
    <col collapsed="false" customWidth="true" hidden="false" outlineLevel="0" max="9985" min="9985" style="2" width="12.56"/>
    <col collapsed="false" customWidth="true" hidden="false" outlineLevel="0" max="9994" min="9986" style="2" width="13.44"/>
    <col collapsed="false" customWidth="false" hidden="false" outlineLevel="0" max="10238" min="9995" style="2" width="9.11"/>
    <col collapsed="false" customWidth="true" hidden="false" outlineLevel="0" max="10239" min="10239" style="2" width="2.44"/>
    <col collapsed="false" customWidth="true" hidden="false" outlineLevel="0" max="10240" min="10240" style="2" width="37.56"/>
    <col collapsed="false" customWidth="true" hidden="false" outlineLevel="0" max="10241" min="10241" style="2" width="12.56"/>
    <col collapsed="false" customWidth="true" hidden="false" outlineLevel="0" max="10250" min="10242" style="2" width="13.44"/>
    <col collapsed="false" customWidth="false" hidden="false" outlineLevel="0" max="10494" min="10251" style="2" width="9.11"/>
    <col collapsed="false" customWidth="true" hidden="false" outlineLevel="0" max="10495" min="10495" style="2" width="2.44"/>
    <col collapsed="false" customWidth="true" hidden="false" outlineLevel="0" max="10496" min="10496" style="2" width="37.56"/>
    <col collapsed="false" customWidth="true" hidden="false" outlineLevel="0" max="10497" min="10497" style="2" width="12.56"/>
    <col collapsed="false" customWidth="true" hidden="false" outlineLevel="0" max="10506" min="10498" style="2" width="13.44"/>
    <col collapsed="false" customWidth="false" hidden="false" outlineLevel="0" max="10750" min="10507" style="2" width="9.11"/>
    <col collapsed="false" customWidth="true" hidden="false" outlineLevel="0" max="10751" min="10751" style="2" width="2.44"/>
    <col collapsed="false" customWidth="true" hidden="false" outlineLevel="0" max="10752" min="10752" style="2" width="37.56"/>
    <col collapsed="false" customWidth="true" hidden="false" outlineLevel="0" max="10753" min="10753" style="2" width="12.56"/>
    <col collapsed="false" customWidth="true" hidden="false" outlineLevel="0" max="10762" min="10754" style="2" width="13.44"/>
    <col collapsed="false" customWidth="false" hidden="false" outlineLevel="0" max="11006" min="10763" style="2" width="9.11"/>
    <col collapsed="false" customWidth="true" hidden="false" outlineLevel="0" max="11007" min="11007" style="2" width="2.44"/>
    <col collapsed="false" customWidth="true" hidden="false" outlineLevel="0" max="11008" min="11008" style="2" width="37.56"/>
    <col collapsed="false" customWidth="true" hidden="false" outlineLevel="0" max="11009" min="11009" style="2" width="12.56"/>
    <col collapsed="false" customWidth="true" hidden="false" outlineLevel="0" max="11018" min="11010" style="2" width="13.44"/>
    <col collapsed="false" customWidth="false" hidden="false" outlineLevel="0" max="11262" min="11019" style="2" width="9.11"/>
    <col collapsed="false" customWidth="true" hidden="false" outlineLevel="0" max="11263" min="11263" style="2" width="2.44"/>
    <col collapsed="false" customWidth="true" hidden="false" outlineLevel="0" max="11264" min="11264" style="2" width="37.56"/>
    <col collapsed="false" customWidth="true" hidden="false" outlineLevel="0" max="11265" min="11265" style="2" width="12.56"/>
    <col collapsed="false" customWidth="true" hidden="false" outlineLevel="0" max="11274" min="11266" style="2" width="13.44"/>
    <col collapsed="false" customWidth="false" hidden="false" outlineLevel="0" max="11518" min="11275" style="2" width="9.11"/>
    <col collapsed="false" customWidth="true" hidden="false" outlineLevel="0" max="11519" min="11519" style="2" width="2.44"/>
    <col collapsed="false" customWidth="true" hidden="false" outlineLevel="0" max="11520" min="11520" style="2" width="37.56"/>
    <col collapsed="false" customWidth="true" hidden="false" outlineLevel="0" max="11521" min="11521" style="2" width="12.56"/>
    <col collapsed="false" customWidth="true" hidden="false" outlineLevel="0" max="11530" min="11522" style="2" width="13.44"/>
    <col collapsed="false" customWidth="false" hidden="false" outlineLevel="0" max="11774" min="11531" style="2" width="9.11"/>
    <col collapsed="false" customWidth="true" hidden="false" outlineLevel="0" max="11775" min="11775" style="2" width="2.44"/>
    <col collapsed="false" customWidth="true" hidden="false" outlineLevel="0" max="11776" min="11776" style="2" width="37.56"/>
    <col collapsed="false" customWidth="true" hidden="false" outlineLevel="0" max="11777" min="11777" style="2" width="12.56"/>
    <col collapsed="false" customWidth="true" hidden="false" outlineLevel="0" max="11786" min="11778" style="2" width="13.44"/>
    <col collapsed="false" customWidth="false" hidden="false" outlineLevel="0" max="12030" min="11787" style="2" width="9.11"/>
    <col collapsed="false" customWidth="true" hidden="false" outlineLevel="0" max="12031" min="12031" style="2" width="2.44"/>
    <col collapsed="false" customWidth="true" hidden="false" outlineLevel="0" max="12032" min="12032" style="2" width="37.56"/>
    <col collapsed="false" customWidth="true" hidden="false" outlineLevel="0" max="12033" min="12033" style="2" width="12.56"/>
    <col collapsed="false" customWidth="true" hidden="false" outlineLevel="0" max="12042" min="12034" style="2" width="13.44"/>
    <col collapsed="false" customWidth="false" hidden="false" outlineLevel="0" max="12286" min="12043" style="2" width="9.11"/>
    <col collapsed="false" customWidth="true" hidden="false" outlineLevel="0" max="12287" min="12287" style="2" width="2.44"/>
    <col collapsed="false" customWidth="true" hidden="false" outlineLevel="0" max="12288" min="12288" style="2" width="37.56"/>
    <col collapsed="false" customWidth="true" hidden="false" outlineLevel="0" max="12289" min="12289" style="2" width="12.56"/>
    <col collapsed="false" customWidth="true" hidden="false" outlineLevel="0" max="12298" min="12290" style="2" width="13.44"/>
    <col collapsed="false" customWidth="false" hidden="false" outlineLevel="0" max="12542" min="12299" style="2" width="9.11"/>
    <col collapsed="false" customWidth="true" hidden="false" outlineLevel="0" max="12543" min="12543" style="2" width="2.44"/>
    <col collapsed="false" customWidth="true" hidden="false" outlineLevel="0" max="12544" min="12544" style="2" width="37.56"/>
    <col collapsed="false" customWidth="true" hidden="false" outlineLevel="0" max="12545" min="12545" style="2" width="12.56"/>
    <col collapsed="false" customWidth="true" hidden="false" outlineLevel="0" max="12554" min="12546" style="2" width="13.44"/>
    <col collapsed="false" customWidth="false" hidden="false" outlineLevel="0" max="12798" min="12555" style="2" width="9.11"/>
    <col collapsed="false" customWidth="true" hidden="false" outlineLevel="0" max="12799" min="12799" style="2" width="2.44"/>
    <col collapsed="false" customWidth="true" hidden="false" outlineLevel="0" max="12800" min="12800" style="2" width="37.56"/>
    <col collapsed="false" customWidth="true" hidden="false" outlineLevel="0" max="12801" min="12801" style="2" width="12.56"/>
    <col collapsed="false" customWidth="true" hidden="false" outlineLevel="0" max="12810" min="12802" style="2" width="13.44"/>
    <col collapsed="false" customWidth="false" hidden="false" outlineLevel="0" max="13054" min="12811" style="2" width="9.11"/>
    <col collapsed="false" customWidth="true" hidden="false" outlineLevel="0" max="13055" min="13055" style="2" width="2.44"/>
    <col collapsed="false" customWidth="true" hidden="false" outlineLevel="0" max="13056" min="13056" style="2" width="37.56"/>
    <col collapsed="false" customWidth="true" hidden="false" outlineLevel="0" max="13057" min="13057" style="2" width="12.56"/>
    <col collapsed="false" customWidth="true" hidden="false" outlineLevel="0" max="13066" min="13058" style="2" width="13.44"/>
    <col collapsed="false" customWidth="false" hidden="false" outlineLevel="0" max="13310" min="13067" style="2" width="9.11"/>
    <col collapsed="false" customWidth="true" hidden="false" outlineLevel="0" max="13311" min="13311" style="2" width="2.44"/>
    <col collapsed="false" customWidth="true" hidden="false" outlineLevel="0" max="13312" min="13312" style="2" width="37.56"/>
    <col collapsed="false" customWidth="true" hidden="false" outlineLevel="0" max="13313" min="13313" style="2" width="12.56"/>
    <col collapsed="false" customWidth="true" hidden="false" outlineLevel="0" max="13322" min="13314" style="2" width="13.44"/>
    <col collapsed="false" customWidth="false" hidden="false" outlineLevel="0" max="13566" min="13323" style="2" width="9.11"/>
    <col collapsed="false" customWidth="true" hidden="false" outlineLevel="0" max="13567" min="13567" style="2" width="2.44"/>
    <col collapsed="false" customWidth="true" hidden="false" outlineLevel="0" max="13568" min="13568" style="2" width="37.56"/>
    <col collapsed="false" customWidth="true" hidden="false" outlineLevel="0" max="13569" min="13569" style="2" width="12.56"/>
    <col collapsed="false" customWidth="true" hidden="false" outlineLevel="0" max="13578" min="13570" style="2" width="13.44"/>
    <col collapsed="false" customWidth="false" hidden="false" outlineLevel="0" max="13822" min="13579" style="2" width="9.11"/>
    <col collapsed="false" customWidth="true" hidden="false" outlineLevel="0" max="13823" min="13823" style="2" width="2.44"/>
    <col collapsed="false" customWidth="true" hidden="false" outlineLevel="0" max="13824" min="13824" style="2" width="37.56"/>
    <col collapsed="false" customWidth="true" hidden="false" outlineLevel="0" max="13825" min="13825" style="2" width="12.56"/>
    <col collapsed="false" customWidth="true" hidden="false" outlineLevel="0" max="13834" min="13826" style="2" width="13.44"/>
    <col collapsed="false" customWidth="false" hidden="false" outlineLevel="0" max="14078" min="13835" style="2" width="9.11"/>
    <col collapsed="false" customWidth="true" hidden="false" outlineLevel="0" max="14079" min="14079" style="2" width="2.44"/>
    <col collapsed="false" customWidth="true" hidden="false" outlineLevel="0" max="14080" min="14080" style="2" width="37.56"/>
    <col collapsed="false" customWidth="true" hidden="false" outlineLevel="0" max="14081" min="14081" style="2" width="12.56"/>
    <col collapsed="false" customWidth="true" hidden="false" outlineLevel="0" max="14090" min="14082" style="2" width="13.44"/>
    <col collapsed="false" customWidth="false" hidden="false" outlineLevel="0" max="14334" min="14091" style="2" width="9.11"/>
    <col collapsed="false" customWidth="true" hidden="false" outlineLevel="0" max="14335" min="14335" style="2" width="2.44"/>
    <col collapsed="false" customWidth="true" hidden="false" outlineLevel="0" max="14336" min="14336" style="2" width="37.56"/>
    <col collapsed="false" customWidth="true" hidden="false" outlineLevel="0" max="14337" min="14337" style="2" width="12.56"/>
    <col collapsed="false" customWidth="true" hidden="false" outlineLevel="0" max="14346" min="14338" style="2" width="13.44"/>
    <col collapsed="false" customWidth="false" hidden="false" outlineLevel="0" max="14590" min="14347" style="2" width="9.11"/>
    <col collapsed="false" customWidth="true" hidden="false" outlineLevel="0" max="14591" min="14591" style="2" width="2.44"/>
    <col collapsed="false" customWidth="true" hidden="false" outlineLevel="0" max="14592" min="14592" style="2" width="37.56"/>
    <col collapsed="false" customWidth="true" hidden="false" outlineLevel="0" max="14593" min="14593" style="2" width="12.56"/>
    <col collapsed="false" customWidth="true" hidden="false" outlineLevel="0" max="14602" min="14594" style="2" width="13.44"/>
    <col collapsed="false" customWidth="false" hidden="false" outlineLevel="0" max="14846" min="14603" style="2" width="9.11"/>
    <col collapsed="false" customWidth="true" hidden="false" outlineLevel="0" max="14847" min="14847" style="2" width="2.44"/>
    <col collapsed="false" customWidth="true" hidden="false" outlineLevel="0" max="14848" min="14848" style="2" width="37.56"/>
    <col collapsed="false" customWidth="true" hidden="false" outlineLevel="0" max="14849" min="14849" style="2" width="12.56"/>
    <col collapsed="false" customWidth="true" hidden="false" outlineLevel="0" max="14858" min="14850" style="2" width="13.44"/>
    <col collapsed="false" customWidth="false" hidden="false" outlineLevel="0" max="15102" min="14859" style="2" width="9.11"/>
    <col collapsed="false" customWidth="true" hidden="false" outlineLevel="0" max="15103" min="15103" style="2" width="2.44"/>
    <col collapsed="false" customWidth="true" hidden="false" outlineLevel="0" max="15104" min="15104" style="2" width="37.56"/>
    <col collapsed="false" customWidth="true" hidden="false" outlineLevel="0" max="15105" min="15105" style="2" width="12.56"/>
    <col collapsed="false" customWidth="true" hidden="false" outlineLevel="0" max="15114" min="15106" style="2" width="13.44"/>
    <col collapsed="false" customWidth="false" hidden="false" outlineLevel="0" max="15358" min="15115" style="2" width="9.11"/>
    <col collapsed="false" customWidth="true" hidden="false" outlineLevel="0" max="15359" min="15359" style="2" width="2.44"/>
    <col collapsed="false" customWidth="true" hidden="false" outlineLevel="0" max="15360" min="15360" style="2" width="37.56"/>
    <col collapsed="false" customWidth="true" hidden="false" outlineLevel="0" max="15361" min="15361" style="2" width="12.56"/>
    <col collapsed="false" customWidth="true" hidden="false" outlineLevel="0" max="15370" min="15362" style="2" width="13.44"/>
    <col collapsed="false" customWidth="false" hidden="false" outlineLevel="0" max="15614" min="15371" style="2" width="9.11"/>
    <col collapsed="false" customWidth="true" hidden="false" outlineLevel="0" max="15615" min="15615" style="2" width="2.44"/>
    <col collapsed="false" customWidth="true" hidden="false" outlineLevel="0" max="15616" min="15616" style="2" width="37.56"/>
    <col collapsed="false" customWidth="true" hidden="false" outlineLevel="0" max="15617" min="15617" style="2" width="12.56"/>
    <col collapsed="false" customWidth="true" hidden="false" outlineLevel="0" max="15626" min="15618" style="2" width="13.44"/>
    <col collapsed="false" customWidth="false" hidden="false" outlineLevel="0" max="15870" min="15627" style="2" width="9.11"/>
    <col collapsed="false" customWidth="true" hidden="false" outlineLevel="0" max="15871" min="15871" style="2" width="2.44"/>
    <col collapsed="false" customWidth="true" hidden="false" outlineLevel="0" max="15872" min="15872" style="2" width="37.56"/>
    <col collapsed="false" customWidth="true" hidden="false" outlineLevel="0" max="15873" min="15873" style="2" width="12.56"/>
    <col collapsed="false" customWidth="true" hidden="false" outlineLevel="0" max="15882" min="15874" style="2" width="13.44"/>
    <col collapsed="false" customWidth="false" hidden="false" outlineLevel="0" max="16126" min="15883" style="2" width="9.11"/>
    <col collapsed="false" customWidth="true" hidden="false" outlineLevel="0" max="16127" min="16127" style="2" width="2.44"/>
    <col collapsed="false" customWidth="true" hidden="false" outlineLevel="0" max="16128" min="16128" style="2" width="37.56"/>
    <col collapsed="false" customWidth="true" hidden="false" outlineLevel="0" max="16129" min="16129" style="2" width="12.56"/>
    <col collapsed="false" customWidth="true" hidden="false" outlineLevel="0" max="16138" min="16130" style="2" width="13.44"/>
    <col collapsed="false" customWidth="false" hidden="false" outlineLevel="0" max="16384" min="16139" style="2" width="9.11"/>
  </cols>
  <sheetData>
    <row r="1" customFormat="false" ht="21.75" hidden="false" customHeight="true" outlineLevel="0" collapsed="false">
      <c r="A1" s="369" t="s">
        <v>0</v>
      </c>
    </row>
    <row r="2" s="2" customFormat="true" ht="18" hidden="false" customHeight="true" outlineLevel="0" collapsed="false">
      <c r="B2" s="370" t="s">
        <v>198</v>
      </c>
      <c r="C2" s="5"/>
      <c r="D2" s="5"/>
      <c r="E2" s="5"/>
      <c r="F2" s="5"/>
      <c r="G2" s="5"/>
      <c r="H2" s="5"/>
      <c r="I2" s="5"/>
      <c r="J2" s="5"/>
    </row>
    <row r="3" s="2" customFormat="true" ht="13.5" hidden="false" customHeight="true" outlineLevel="0" collapsed="false"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</row>
    <row r="4" s="2" customFormat="true" ht="13.5" hidden="false" customHeight="true" outlineLevel="0" collapsed="false">
      <c r="B4" s="371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</row>
    <row r="5" customFormat="false" ht="13.5" hidden="false" customHeight="true" outlineLevel="0" collapsed="false">
      <c r="B5" s="142"/>
      <c r="C5" s="5"/>
      <c r="D5" s="5"/>
      <c r="E5" s="5"/>
      <c r="F5" s="5"/>
      <c r="G5" s="5"/>
      <c r="H5" s="5"/>
      <c r="I5" s="5"/>
      <c r="J5" s="5"/>
    </row>
    <row r="6" customFormat="false" ht="13.5" hidden="false" customHeight="true" outlineLevel="0" collapsed="false">
      <c r="B6" s="19" t="s">
        <v>199</v>
      </c>
      <c r="C6" s="148"/>
      <c r="D6" s="148"/>
      <c r="E6" s="148"/>
      <c r="F6" s="148"/>
      <c r="G6" s="148"/>
      <c r="H6" s="148"/>
      <c r="I6" s="148"/>
      <c r="J6" s="148"/>
    </row>
    <row r="7" customFormat="false" ht="13.5" hidden="false" customHeight="true" outlineLevel="0" collapsed="false">
      <c r="B7" s="2" t="s">
        <v>200</v>
      </c>
      <c r="C7" s="372" t="n">
        <f aca="false">'Income Statement'!C28</f>
        <v>150</v>
      </c>
      <c r="D7" s="372" t="n">
        <f aca="false">'Income Statement'!D28</f>
        <v>190</v>
      </c>
      <c r="E7" s="372" t="n">
        <f aca="false">'Income Statement'!E28</f>
        <v>230</v>
      </c>
      <c r="F7" s="311" t="n">
        <f aca="false">F8*F9</f>
        <v>208.563794944946</v>
      </c>
      <c r="G7" s="311" t="n">
        <f aca="false">G8*G9</f>
        <v>247.030559648403</v>
      </c>
      <c r="H7" s="311" t="n">
        <f aca="false">H8*H9</f>
        <v>292.207000639336</v>
      </c>
      <c r="I7" s="311" t="n">
        <f aca="false">I8*I9</f>
        <v>345.120364415724</v>
      </c>
      <c r="J7" s="311" t="n">
        <f aca="false">J8*J9</f>
        <v>406.592139697379</v>
      </c>
    </row>
    <row r="8" customFormat="false" ht="13.5" hidden="false" customHeight="true" outlineLevel="0" collapsed="false">
      <c r="B8" s="2" t="s">
        <v>17</v>
      </c>
      <c r="C8" s="26" t="n">
        <f aca="false">'Income Statement'!C21</f>
        <v>774.5861036</v>
      </c>
      <c r="D8" s="26" t="n">
        <f aca="false">'Income Statement'!D21</f>
        <v>754.108342297617</v>
      </c>
      <c r="E8" s="26" t="n">
        <f aca="false">'Income Statement'!E21</f>
        <v>740.304924847988</v>
      </c>
      <c r="F8" s="28" t="n">
        <f aca="false">'Income Statement'!F21</f>
        <v>695.212649816488</v>
      </c>
      <c r="G8" s="28" t="n">
        <f aca="false">'Income Statement'!G21</f>
        <v>823.435198828009</v>
      </c>
      <c r="H8" s="28" t="n">
        <f aca="false">'Income Statement'!H21</f>
        <v>974.023335464453</v>
      </c>
      <c r="I8" s="28" t="n">
        <f aca="false">'Income Statement'!I21</f>
        <v>1150.40121471908</v>
      </c>
      <c r="J8" s="28" t="n">
        <f aca="false">'Income Statement'!J21</f>
        <v>1355.3071323246</v>
      </c>
    </row>
    <row r="9" customFormat="false" ht="13.5" hidden="false" customHeight="true" outlineLevel="0" collapsed="false">
      <c r="B9" s="2" t="s">
        <v>201</v>
      </c>
      <c r="C9" s="334" t="n">
        <f aca="false">C7/C8</f>
        <v>0.193651808756771</v>
      </c>
      <c r="D9" s="334" t="n">
        <f aca="false">D7/D8</f>
        <v>0.25195318675445</v>
      </c>
      <c r="E9" s="334" t="n">
        <f aca="false">E7/E8</f>
        <v>0.310682790672003</v>
      </c>
      <c r="F9" s="254" t="n">
        <v>0.3</v>
      </c>
      <c r="G9" s="254" t="n">
        <v>0.3</v>
      </c>
      <c r="H9" s="254" t="n">
        <v>0.3</v>
      </c>
      <c r="I9" s="254" t="n">
        <v>0.3</v>
      </c>
      <c r="J9" s="254" t="n">
        <v>0.3</v>
      </c>
    </row>
    <row r="10" customFormat="false" ht="13.5" hidden="false" customHeight="true" outlineLevel="0" collapsed="false">
      <c r="C10" s="152"/>
      <c r="D10" s="152"/>
      <c r="E10" s="152"/>
      <c r="F10" s="373"/>
      <c r="G10" s="152"/>
      <c r="H10" s="152"/>
      <c r="I10" s="152"/>
      <c r="J10" s="152"/>
    </row>
    <row r="11" customFormat="false" ht="13.5" hidden="false" customHeight="true" outlineLevel="0" collapsed="false">
      <c r="C11" s="152"/>
      <c r="D11" s="152"/>
      <c r="E11" s="152"/>
      <c r="F11" s="373"/>
      <c r="G11" s="152"/>
      <c r="H11" s="152"/>
      <c r="I11" s="152"/>
      <c r="J11" s="152"/>
    </row>
    <row r="12" customFormat="false" ht="13.5" hidden="false" customHeight="true" outlineLevel="0" collapsed="false">
      <c r="B12" s="148" t="s">
        <v>79</v>
      </c>
      <c r="C12" s="43" t="n">
        <f aca="false">'Balance Sheet'!C43</f>
        <v>1000</v>
      </c>
      <c r="D12" s="43" t="n">
        <f aca="false">'Balance Sheet'!D43</f>
        <v>1000</v>
      </c>
      <c r="E12" s="43" t="n">
        <f aca="false">'Balance Sheet'!E43</f>
        <v>1000</v>
      </c>
      <c r="F12" s="311" t="n">
        <v>1000</v>
      </c>
      <c r="G12" s="311" t="n">
        <v>1000</v>
      </c>
      <c r="H12" s="311" t="n">
        <v>1000</v>
      </c>
      <c r="I12" s="311" t="n">
        <v>1000</v>
      </c>
      <c r="J12" s="311" t="n">
        <v>1000</v>
      </c>
    </row>
    <row r="13" customFormat="false" ht="13.5" hidden="false" customHeight="true" outlineLevel="0" collapsed="false">
      <c r="B13" s="148" t="s">
        <v>80</v>
      </c>
      <c r="C13" s="43" t="n">
        <f aca="false">'Balance Sheet'!C44</f>
        <v>-1500</v>
      </c>
      <c r="D13" s="43" t="n">
        <f aca="false">'Balance Sheet'!D44</f>
        <v>-1575</v>
      </c>
      <c r="E13" s="43" t="n">
        <f aca="false">'Balance Sheet'!E44</f>
        <v>-1655</v>
      </c>
      <c r="F13" s="250" t="n">
        <f aca="false">E13+F19</f>
        <v>-1755</v>
      </c>
      <c r="G13" s="250" t="n">
        <f aca="false">F13+G19</f>
        <v>-1855</v>
      </c>
      <c r="H13" s="250" t="n">
        <f aca="false">G13+H19</f>
        <v>-1955</v>
      </c>
      <c r="I13" s="250" t="n">
        <f aca="false">H13+I19</f>
        <v>-2055</v>
      </c>
      <c r="J13" s="250" t="n">
        <f aca="false">I13+J19</f>
        <v>-2155</v>
      </c>
    </row>
    <row r="14" customFormat="false" ht="13.5" hidden="false" customHeight="true" outlineLevel="0" collapsed="false">
      <c r="B14" s="148" t="s">
        <v>81</v>
      </c>
      <c r="C14" s="43" t="n">
        <f aca="false">'Balance Sheet'!C45</f>
        <v>1000</v>
      </c>
      <c r="D14" s="43" t="n">
        <f aca="false">'Balance Sheet'!D45</f>
        <v>1564.10834229762</v>
      </c>
      <c r="E14" s="43" t="n">
        <f aca="false">'Balance Sheet'!E45</f>
        <v>2074.4132671456</v>
      </c>
      <c r="F14" s="250" t="n">
        <f aca="false">E14+F8-F7</f>
        <v>2561.06212201714</v>
      </c>
      <c r="G14" s="250" t="n">
        <f aca="false">F14+G8-G7</f>
        <v>3137.46676119675</v>
      </c>
      <c r="H14" s="250" t="n">
        <f aca="false">G14+H8-H7</f>
        <v>3819.28309602187</v>
      </c>
      <c r="I14" s="250" t="n">
        <f aca="false">H14+I8-I7</f>
        <v>4624.56394632522</v>
      </c>
      <c r="J14" s="250" t="n">
        <f aca="false">I14+J8-J7</f>
        <v>5573.27893895244</v>
      </c>
    </row>
    <row r="15" customFormat="false" ht="13.5" hidden="false" customHeight="true" outlineLevel="0" collapsed="false">
      <c r="B15" s="148" t="s">
        <v>82</v>
      </c>
      <c r="C15" s="43" t="n">
        <f aca="false">'Balance Sheet'!C46</f>
        <v>0</v>
      </c>
      <c r="D15" s="43" t="n">
        <f aca="false">'Balance Sheet'!D46</f>
        <v>0</v>
      </c>
      <c r="E15" s="43" t="n">
        <f aca="false">'Balance Sheet'!E46</f>
        <v>0</v>
      </c>
      <c r="F15" s="374"/>
      <c r="G15" s="374"/>
      <c r="H15" s="374"/>
      <c r="I15" s="374"/>
      <c r="J15" s="374"/>
      <c r="Q15" s="2" t="n">
        <v>1</v>
      </c>
    </row>
    <row r="16" customFormat="false" ht="13.5" hidden="false" customHeight="true" outlineLevel="0" collapsed="false">
      <c r="B16" s="2" t="s">
        <v>202</v>
      </c>
      <c r="C16" s="43" t="n">
        <f aca="false">SUM(C12:C15)</f>
        <v>500</v>
      </c>
      <c r="D16" s="43" t="n">
        <f aca="false">SUM(D12:D15)</f>
        <v>989.10834229762</v>
      </c>
      <c r="E16" s="43" t="n">
        <f aca="false">SUM(E12:E15)</f>
        <v>1419.4132671456</v>
      </c>
      <c r="F16" s="44" t="n">
        <f aca="false">SUM(F12:F15)</f>
        <v>1806.06212201714</v>
      </c>
      <c r="G16" s="44" t="n">
        <f aca="false">SUM(G12:G15)</f>
        <v>2282.46676119675</v>
      </c>
      <c r="H16" s="44" t="n">
        <f aca="false">SUM(H12:H15)</f>
        <v>2864.28309602187</v>
      </c>
      <c r="I16" s="44" t="n">
        <f aca="false">SUM(I12:I15)</f>
        <v>3569.56394632522</v>
      </c>
      <c r="J16" s="44" t="n">
        <f aca="false">SUM(J12:J15)</f>
        <v>4418.27893895244</v>
      </c>
      <c r="Q16" s="2" t="s">
        <v>203</v>
      </c>
    </row>
    <row r="17" customFormat="false" ht="13.5" hidden="false" customHeight="true" outlineLevel="0" collapsed="false">
      <c r="C17" s="152"/>
      <c r="D17" s="152"/>
      <c r="E17" s="152"/>
      <c r="F17" s="373"/>
      <c r="G17" s="152"/>
      <c r="H17" s="152"/>
      <c r="I17" s="152"/>
      <c r="J17" s="152"/>
    </row>
    <row r="18" customFormat="false" ht="13.5" hidden="false" customHeight="true" outlineLevel="0" collapsed="false">
      <c r="B18" s="65" t="s">
        <v>204</v>
      </c>
      <c r="C18" s="148"/>
      <c r="D18" s="148"/>
      <c r="E18" s="148"/>
      <c r="F18" s="148"/>
      <c r="G18" s="148"/>
      <c r="H18" s="148"/>
      <c r="I18" s="148"/>
      <c r="J18" s="148"/>
    </row>
    <row r="19" customFormat="false" ht="13.5" hidden="false" customHeight="true" outlineLevel="0" collapsed="false">
      <c r="B19" s="29" t="s">
        <v>205</v>
      </c>
      <c r="C19" s="178" t="n">
        <v>-50</v>
      </c>
      <c r="D19" s="43" t="n">
        <f aca="false">'Cash Flow Statement'!D30</f>
        <v>-75</v>
      </c>
      <c r="E19" s="43" t="n">
        <f aca="false">'Cash Flow Statement'!E30</f>
        <v>-80</v>
      </c>
      <c r="F19" s="311" t="n">
        <v>-100</v>
      </c>
      <c r="G19" s="311" t="n">
        <v>-100</v>
      </c>
      <c r="H19" s="311" t="n">
        <v>-100</v>
      </c>
      <c r="I19" s="311" t="n">
        <v>-100</v>
      </c>
      <c r="J19" s="311" t="n">
        <v>-100</v>
      </c>
    </row>
    <row r="20" customFormat="false" ht="13.5" hidden="false" customHeight="true" outlineLevel="0" collapsed="false">
      <c r="B20" s="29" t="s">
        <v>206</v>
      </c>
      <c r="C20" s="178" t="n">
        <v>0.793650793650794</v>
      </c>
      <c r="D20" s="178" t="n">
        <v>1.25</v>
      </c>
      <c r="E20" s="178" t="n">
        <v>1.37931034482759</v>
      </c>
      <c r="F20" s="311" t="n">
        <f aca="false">IFERROR(F19/F21,0)</f>
        <v>-1.70647789710112</v>
      </c>
      <c r="G20" s="311" t="n">
        <f aca="false">IFERROR(G19/G21,0)</f>
        <v>-1.41920698342825</v>
      </c>
      <c r="H20" s="311" t="n">
        <f aca="false">IFERROR(H19/H21,0)</f>
        <v>-1.18458932748484</v>
      </c>
      <c r="I20" s="311" t="n">
        <f aca="false">IFERROR(I19/I21,0)</f>
        <v>-0.99218889024745</v>
      </c>
      <c r="J20" s="311" t="n">
        <f aca="false">IFERROR(J19/J21,0)</f>
        <v>-0.83448557053179</v>
      </c>
    </row>
    <row r="21" customFormat="false" ht="13.5" hidden="false" customHeight="true" outlineLevel="0" collapsed="false">
      <c r="B21" s="29" t="s">
        <v>207</v>
      </c>
      <c r="C21" s="375" t="n">
        <f aca="false">-C19/C20</f>
        <v>63</v>
      </c>
      <c r="D21" s="375" t="n">
        <f aca="false">-D19/D20</f>
        <v>60</v>
      </c>
      <c r="E21" s="375" t="n">
        <f aca="false">-E19/E20</f>
        <v>57.9999999999998</v>
      </c>
      <c r="F21" s="376" t="n">
        <f aca="false">F22*F23</f>
        <v>58.6002316056216</v>
      </c>
      <c r="G21" s="376" t="n">
        <f aca="false">G22*G23</f>
        <v>70.4618855231666</v>
      </c>
      <c r="H21" s="376" t="n">
        <f aca="false">H22*H23</f>
        <v>84.4174412851778</v>
      </c>
      <c r="I21" s="376" t="n">
        <f aca="false">I22*I23</f>
        <v>100.78726035227</v>
      </c>
      <c r="J21" s="376" t="n">
        <f aca="false">J22*J23</f>
        <v>119.834306944665</v>
      </c>
    </row>
    <row r="22" customFormat="false" ht="13.5" hidden="false" customHeight="true" outlineLevel="0" collapsed="false">
      <c r="B22" s="29" t="s">
        <v>43</v>
      </c>
      <c r="C22" s="377" t="n">
        <f aca="false">'Income Statement'!C26</f>
        <v>7.80478717920298</v>
      </c>
      <c r="D22" s="377" t="n">
        <f aca="false">'Income Statement'!D26</f>
        <v>7.69537570587904</v>
      </c>
      <c r="E22" s="377" t="n">
        <f aca="false">'Income Statement'!E26</f>
        <v>7.66236754599779</v>
      </c>
      <c r="F22" s="88" t="n">
        <f aca="false">'Income Statement'!F26</f>
        <v>7.32502895070271</v>
      </c>
      <c r="G22" s="88" t="n">
        <f aca="false">'Income Statement'!G26</f>
        <v>8.80773569039582</v>
      </c>
      <c r="H22" s="88" t="n">
        <f aca="false">'Income Statement'!H26</f>
        <v>10.5521801606472</v>
      </c>
      <c r="I22" s="88" t="n">
        <f aca="false">'Income Statement'!I26</f>
        <v>12.5984075440338</v>
      </c>
      <c r="J22" s="88" t="n">
        <f aca="false">'Income Statement'!J26</f>
        <v>14.9792883680831</v>
      </c>
    </row>
    <row r="23" customFormat="false" ht="13.5" hidden="false" customHeight="true" outlineLevel="0" collapsed="false">
      <c r="B23" s="29" t="s">
        <v>208</v>
      </c>
      <c r="C23" s="378" t="n">
        <f aca="false">C21/C22</f>
        <v>8.07196897922763</v>
      </c>
      <c r="D23" s="378" t="n">
        <f aca="false">D21/D22</f>
        <v>7.79689027452704</v>
      </c>
      <c r="E23" s="378" t="n">
        <f aca="false">E21/E22</f>
        <v>7.56946200398523</v>
      </c>
      <c r="F23" s="379" t="n">
        <v>8</v>
      </c>
      <c r="G23" s="379" t="n">
        <v>8</v>
      </c>
      <c r="H23" s="379" t="n">
        <v>8</v>
      </c>
      <c r="I23" s="379" t="n">
        <v>8</v>
      </c>
      <c r="J23" s="379" t="n">
        <v>8</v>
      </c>
    </row>
    <row r="24" customFormat="false" ht="13.5" hidden="false" customHeight="true" outlineLevel="0" collapsed="false">
      <c r="B24" s="29"/>
      <c r="C24" s="380"/>
      <c r="D24" s="380"/>
      <c r="E24" s="380"/>
      <c r="F24" s="380"/>
      <c r="G24" s="380"/>
      <c r="H24" s="380"/>
      <c r="I24" s="380"/>
      <c r="J24" s="380"/>
    </row>
    <row r="25" customFormat="false" ht="13.5" hidden="false" customHeight="true" outlineLevel="0" collapsed="false">
      <c r="B25" s="2" t="s">
        <v>41</v>
      </c>
      <c r="C25" s="381" t="n">
        <f aca="false">'Income Statement'!C24</f>
        <v>99.245</v>
      </c>
      <c r="D25" s="381" t="n">
        <f aca="false">'Income Statement'!D24</f>
        <v>97.995</v>
      </c>
      <c r="E25" s="381" t="n">
        <f aca="false">'Income Statement'!E24</f>
        <v>96.6156896551724</v>
      </c>
      <c r="F25" s="382" t="n">
        <f aca="false">E25+F20</f>
        <v>94.9092117580713</v>
      </c>
      <c r="G25" s="382" t="n">
        <f aca="false">F25+G20</f>
        <v>93.490004774643</v>
      </c>
      <c r="H25" s="382" t="n">
        <f aca="false">G25+H20</f>
        <v>92.3054154471582</v>
      </c>
      <c r="I25" s="382" t="n">
        <f aca="false">H25+I20</f>
        <v>91.3132265569107</v>
      </c>
      <c r="J25" s="382" t="n">
        <f aca="false">I25+J20</f>
        <v>90.478740986379</v>
      </c>
    </row>
    <row r="26" customFormat="false" ht="13.5" hidden="false" customHeight="true" outlineLevel="0" collapsed="false">
      <c r="C26" s="383"/>
      <c r="D26" s="383"/>
      <c r="E26" s="148"/>
      <c r="F26" s="148"/>
      <c r="G26" s="148"/>
      <c r="H26" s="148"/>
      <c r="I26" s="148"/>
      <c r="J26" s="148"/>
    </row>
    <row r="27" customFormat="false" ht="13.5" hidden="false" customHeight="true" outlineLevel="0" collapsed="false">
      <c r="C27" s="383"/>
      <c r="D27" s="148"/>
      <c r="E27" s="148"/>
      <c r="F27" s="148"/>
      <c r="G27" s="148"/>
      <c r="H27" s="148"/>
      <c r="I27" s="148"/>
      <c r="J27" s="148"/>
    </row>
    <row r="28" customFormat="false" ht="13.5" hidden="false" customHeight="true" outlineLevel="0" collapsed="false">
      <c r="C28" s="148"/>
      <c r="D28" s="148"/>
      <c r="E28" s="148"/>
      <c r="F28" s="148"/>
      <c r="G28" s="148"/>
      <c r="H28" s="148"/>
      <c r="I28" s="148"/>
      <c r="J28" s="148"/>
    </row>
    <row r="29" customFormat="false" ht="13.5" hidden="false" customHeight="true" outlineLevel="0" collapsed="false">
      <c r="C29" s="148"/>
      <c r="D29" s="148"/>
      <c r="E29" s="148"/>
      <c r="F29" s="148"/>
      <c r="G29" s="148"/>
      <c r="H29" s="148"/>
      <c r="I29" s="148"/>
      <c r="J29" s="148"/>
    </row>
    <row r="30" customFormat="false" ht="13.5" hidden="false" customHeight="true" outlineLevel="0" collapsed="false">
      <c r="C30" s="148"/>
      <c r="D30" s="148"/>
      <c r="E30" s="148"/>
      <c r="F30" s="148"/>
      <c r="G30" s="148"/>
      <c r="H30" s="148"/>
      <c r="I30" s="148"/>
      <c r="J30" s="148"/>
    </row>
    <row r="31" customFormat="false" ht="13.5" hidden="false" customHeight="true" outlineLevel="0" collapsed="false">
      <c r="C31" s="148"/>
      <c r="D31" s="148"/>
      <c r="E31" s="148"/>
      <c r="F31" s="148"/>
      <c r="G31" s="148"/>
      <c r="H31" s="148"/>
      <c r="I31" s="148"/>
      <c r="J31" s="148"/>
    </row>
    <row r="32" customFormat="false" ht="13.5" hidden="false" customHeight="true" outlineLevel="0" collapsed="false">
      <c r="C32" s="148"/>
      <c r="D32" s="148"/>
      <c r="E32" s="148"/>
      <c r="F32" s="148"/>
      <c r="G32" s="148"/>
      <c r="H32" s="148"/>
      <c r="I32" s="148"/>
      <c r="J32" s="148"/>
    </row>
    <row r="33" customFormat="false" ht="13.5" hidden="false" customHeight="true" outlineLevel="0" collapsed="false">
      <c r="C33" s="148"/>
      <c r="D33" s="148"/>
      <c r="E33" s="148"/>
      <c r="F33" s="148"/>
      <c r="G33" s="148"/>
      <c r="H33" s="148"/>
      <c r="I33" s="148"/>
      <c r="J33" s="148"/>
    </row>
    <row r="34" customFormat="false" ht="13.5" hidden="false" customHeight="true" outlineLevel="0" collapsed="false">
      <c r="C34" s="148"/>
      <c r="D34" s="148"/>
      <c r="E34" s="148"/>
      <c r="F34" s="148"/>
      <c r="G34" s="148"/>
      <c r="H34" s="148"/>
      <c r="I34" s="148"/>
      <c r="J34" s="148"/>
    </row>
    <row r="35" customFormat="false" ht="13.5" hidden="false" customHeight="true" outlineLevel="0" collapsed="false">
      <c r="E35" s="161" t="s">
        <v>209</v>
      </c>
    </row>
  </sheetData>
  <mergeCells count="2">
    <mergeCell ref="C3:E3"/>
    <mergeCell ref="F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32020"/>
    <pageSetUpPr fitToPage="false"/>
  </sheetPr>
  <dimension ref="A1:J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27" activePane="bottomRight" state="frozen"/>
      <selection pane="topLeft" activeCell="A1" activeCellId="0" sqref="A1"/>
      <selection pane="topRight" activeCell="C1" activeCellId="0" sqref="C1"/>
      <selection pane="bottomLeft" activeCell="A27" activeCellId="0" sqref="A27"/>
      <selection pane="bottomRight" activeCell="F6" activeCellId="0" sqref="F6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34"/>
    <col collapsed="false" customWidth="true" hidden="false" outlineLevel="0" max="3" min="3" style="2" width="13"/>
    <col collapsed="false" customWidth="true" hidden="false" outlineLevel="0" max="4" min="4" style="2" width="14.67"/>
    <col collapsed="false" customWidth="true" hidden="false" outlineLevel="0" max="5" min="5" style="2" width="15.66"/>
    <col collapsed="false" customWidth="true" hidden="false" outlineLevel="0" max="6" min="6" style="2" width="13"/>
    <col collapsed="false" customWidth="true" hidden="false" outlineLevel="0" max="9" min="7" style="2" width="12"/>
    <col collapsed="false" customWidth="true" hidden="false" outlineLevel="0" max="10" min="10" style="2" width="13.11"/>
    <col collapsed="false" customWidth="false" hidden="false" outlineLevel="0" max="254" min="11" style="2" width="9.11"/>
    <col collapsed="false" customWidth="true" hidden="false" outlineLevel="0" max="255" min="255" style="2" width="2.44"/>
    <col collapsed="false" customWidth="true" hidden="false" outlineLevel="0" max="256" min="256" style="2" width="41.33"/>
    <col collapsed="false" customWidth="false" hidden="false" outlineLevel="0" max="258" min="257" style="2" width="9.11"/>
    <col collapsed="false" customWidth="true" hidden="false" outlineLevel="0" max="259" min="259" style="2" width="7.67"/>
    <col collapsed="false" customWidth="true" hidden="false" outlineLevel="0" max="260" min="260" style="2" width="13.11"/>
    <col collapsed="false" customWidth="false" hidden="false" outlineLevel="0" max="510" min="261" style="2" width="9.11"/>
    <col collapsed="false" customWidth="true" hidden="false" outlineLevel="0" max="511" min="511" style="2" width="2.44"/>
    <col collapsed="false" customWidth="true" hidden="false" outlineLevel="0" max="512" min="512" style="2" width="41.33"/>
    <col collapsed="false" customWidth="false" hidden="false" outlineLevel="0" max="514" min="513" style="2" width="9.11"/>
    <col collapsed="false" customWidth="true" hidden="false" outlineLevel="0" max="515" min="515" style="2" width="7.67"/>
    <col collapsed="false" customWidth="true" hidden="false" outlineLevel="0" max="516" min="516" style="2" width="13.11"/>
    <col collapsed="false" customWidth="false" hidden="false" outlineLevel="0" max="766" min="517" style="2" width="9.11"/>
    <col collapsed="false" customWidth="true" hidden="false" outlineLevel="0" max="767" min="767" style="2" width="2.44"/>
    <col collapsed="false" customWidth="true" hidden="false" outlineLevel="0" max="768" min="768" style="2" width="41.33"/>
    <col collapsed="false" customWidth="false" hidden="false" outlineLevel="0" max="770" min="769" style="2" width="9.11"/>
    <col collapsed="false" customWidth="true" hidden="false" outlineLevel="0" max="771" min="771" style="2" width="7.67"/>
    <col collapsed="false" customWidth="true" hidden="false" outlineLevel="0" max="772" min="772" style="2" width="13.11"/>
    <col collapsed="false" customWidth="false" hidden="false" outlineLevel="0" max="1022" min="773" style="2" width="9.11"/>
    <col collapsed="false" customWidth="true" hidden="false" outlineLevel="0" max="1023" min="1023" style="2" width="2.44"/>
    <col collapsed="false" customWidth="true" hidden="false" outlineLevel="0" max="1024" min="1024" style="2" width="41.33"/>
    <col collapsed="false" customWidth="false" hidden="false" outlineLevel="0" max="1026" min="1025" style="2" width="9.11"/>
    <col collapsed="false" customWidth="true" hidden="false" outlineLevel="0" max="1027" min="1027" style="2" width="7.67"/>
    <col collapsed="false" customWidth="true" hidden="false" outlineLevel="0" max="1028" min="1028" style="2" width="13.11"/>
    <col collapsed="false" customWidth="false" hidden="false" outlineLevel="0" max="1278" min="1029" style="2" width="9.11"/>
    <col collapsed="false" customWidth="true" hidden="false" outlineLevel="0" max="1279" min="1279" style="2" width="2.44"/>
    <col collapsed="false" customWidth="true" hidden="false" outlineLevel="0" max="1280" min="1280" style="2" width="41.33"/>
    <col collapsed="false" customWidth="false" hidden="false" outlineLevel="0" max="1282" min="1281" style="2" width="9.11"/>
    <col collapsed="false" customWidth="true" hidden="false" outlineLevel="0" max="1283" min="1283" style="2" width="7.67"/>
    <col collapsed="false" customWidth="true" hidden="false" outlineLevel="0" max="1284" min="1284" style="2" width="13.11"/>
    <col collapsed="false" customWidth="false" hidden="false" outlineLevel="0" max="1534" min="1285" style="2" width="9.11"/>
    <col collapsed="false" customWidth="true" hidden="false" outlineLevel="0" max="1535" min="1535" style="2" width="2.44"/>
    <col collapsed="false" customWidth="true" hidden="false" outlineLevel="0" max="1536" min="1536" style="2" width="41.33"/>
    <col collapsed="false" customWidth="false" hidden="false" outlineLevel="0" max="1538" min="1537" style="2" width="9.11"/>
    <col collapsed="false" customWidth="true" hidden="false" outlineLevel="0" max="1539" min="1539" style="2" width="7.67"/>
    <col collapsed="false" customWidth="true" hidden="false" outlineLevel="0" max="1540" min="1540" style="2" width="13.11"/>
    <col collapsed="false" customWidth="false" hidden="false" outlineLevel="0" max="1790" min="1541" style="2" width="9.11"/>
    <col collapsed="false" customWidth="true" hidden="false" outlineLevel="0" max="1791" min="1791" style="2" width="2.44"/>
    <col collapsed="false" customWidth="true" hidden="false" outlineLevel="0" max="1792" min="1792" style="2" width="41.33"/>
    <col collapsed="false" customWidth="false" hidden="false" outlineLevel="0" max="1794" min="1793" style="2" width="9.11"/>
    <col collapsed="false" customWidth="true" hidden="false" outlineLevel="0" max="1795" min="1795" style="2" width="7.67"/>
    <col collapsed="false" customWidth="true" hidden="false" outlineLevel="0" max="1796" min="1796" style="2" width="13.11"/>
    <col collapsed="false" customWidth="false" hidden="false" outlineLevel="0" max="2046" min="1797" style="2" width="9.11"/>
    <col collapsed="false" customWidth="true" hidden="false" outlineLevel="0" max="2047" min="2047" style="2" width="2.44"/>
    <col collapsed="false" customWidth="true" hidden="false" outlineLevel="0" max="2048" min="2048" style="2" width="41.33"/>
    <col collapsed="false" customWidth="false" hidden="false" outlineLevel="0" max="2050" min="2049" style="2" width="9.11"/>
    <col collapsed="false" customWidth="true" hidden="false" outlineLevel="0" max="2051" min="2051" style="2" width="7.67"/>
    <col collapsed="false" customWidth="true" hidden="false" outlineLevel="0" max="2052" min="2052" style="2" width="13.11"/>
    <col collapsed="false" customWidth="false" hidden="false" outlineLevel="0" max="2302" min="2053" style="2" width="9.11"/>
    <col collapsed="false" customWidth="true" hidden="false" outlineLevel="0" max="2303" min="2303" style="2" width="2.44"/>
    <col collapsed="false" customWidth="true" hidden="false" outlineLevel="0" max="2304" min="2304" style="2" width="41.33"/>
    <col collapsed="false" customWidth="false" hidden="false" outlineLevel="0" max="2306" min="2305" style="2" width="9.11"/>
    <col collapsed="false" customWidth="true" hidden="false" outlineLevel="0" max="2307" min="2307" style="2" width="7.67"/>
    <col collapsed="false" customWidth="true" hidden="false" outlineLevel="0" max="2308" min="2308" style="2" width="13.11"/>
    <col collapsed="false" customWidth="false" hidden="false" outlineLevel="0" max="2558" min="2309" style="2" width="9.11"/>
    <col collapsed="false" customWidth="true" hidden="false" outlineLevel="0" max="2559" min="2559" style="2" width="2.44"/>
    <col collapsed="false" customWidth="true" hidden="false" outlineLevel="0" max="2560" min="2560" style="2" width="41.33"/>
    <col collapsed="false" customWidth="false" hidden="false" outlineLevel="0" max="2562" min="2561" style="2" width="9.11"/>
    <col collapsed="false" customWidth="true" hidden="false" outlineLevel="0" max="2563" min="2563" style="2" width="7.67"/>
    <col collapsed="false" customWidth="true" hidden="false" outlineLevel="0" max="2564" min="2564" style="2" width="13.11"/>
    <col collapsed="false" customWidth="false" hidden="false" outlineLevel="0" max="2814" min="2565" style="2" width="9.11"/>
    <col collapsed="false" customWidth="true" hidden="false" outlineLevel="0" max="2815" min="2815" style="2" width="2.44"/>
    <col collapsed="false" customWidth="true" hidden="false" outlineLevel="0" max="2816" min="2816" style="2" width="41.33"/>
    <col collapsed="false" customWidth="false" hidden="false" outlineLevel="0" max="2818" min="2817" style="2" width="9.11"/>
    <col collapsed="false" customWidth="true" hidden="false" outlineLevel="0" max="2819" min="2819" style="2" width="7.67"/>
    <col collapsed="false" customWidth="true" hidden="false" outlineLevel="0" max="2820" min="2820" style="2" width="13.11"/>
    <col collapsed="false" customWidth="false" hidden="false" outlineLevel="0" max="3070" min="2821" style="2" width="9.11"/>
    <col collapsed="false" customWidth="true" hidden="false" outlineLevel="0" max="3071" min="3071" style="2" width="2.44"/>
    <col collapsed="false" customWidth="true" hidden="false" outlineLevel="0" max="3072" min="3072" style="2" width="41.33"/>
    <col collapsed="false" customWidth="false" hidden="false" outlineLevel="0" max="3074" min="3073" style="2" width="9.11"/>
    <col collapsed="false" customWidth="true" hidden="false" outlineLevel="0" max="3075" min="3075" style="2" width="7.67"/>
    <col collapsed="false" customWidth="true" hidden="false" outlineLevel="0" max="3076" min="3076" style="2" width="13.11"/>
    <col collapsed="false" customWidth="false" hidden="false" outlineLevel="0" max="3326" min="3077" style="2" width="9.11"/>
    <col collapsed="false" customWidth="true" hidden="false" outlineLevel="0" max="3327" min="3327" style="2" width="2.44"/>
    <col collapsed="false" customWidth="true" hidden="false" outlineLevel="0" max="3328" min="3328" style="2" width="41.33"/>
    <col collapsed="false" customWidth="false" hidden="false" outlineLevel="0" max="3330" min="3329" style="2" width="9.11"/>
    <col collapsed="false" customWidth="true" hidden="false" outlineLevel="0" max="3331" min="3331" style="2" width="7.67"/>
    <col collapsed="false" customWidth="true" hidden="false" outlineLevel="0" max="3332" min="3332" style="2" width="13.11"/>
    <col collapsed="false" customWidth="false" hidden="false" outlineLevel="0" max="3582" min="3333" style="2" width="9.11"/>
    <col collapsed="false" customWidth="true" hidden="false" outlineLevel="0" max="3583" min="3583" style="2" width="2.44"/>
    <col collapsed="false" customWidth="true" hidden="false" outlineLevel="0" max="3584" min="3584" style="2" width="41.33"/>
    <col collapsed="false" customWidth="false" hidden="false" outlineLevel="0" max="3586" min="3585" style="2" width="9.11"/>
    <col collapsed="false" customWidth="true" hidden="false" outlineLevel="0" max="3587" min="3587" style="2" width="7.67"/>
    <col collapsed="false" customWidth="true" hidden="false" outlineLevel="0" max="3588" min="3588" style="2" width="13.11"/>
    <col collapsed="false" customWidth="false" hidden="false" outlineLevel="0" max="3838" min="3589" style="2" width="9.11"/>
    <col collapsed="false" customWidth="true" hidden="false" outlineLevel="0" max="3839" min="3839" style="2" width="2.44"/>
    <col collapsed="false" customWidth="true" hidden="false" outlineLevel="0" max="3840" min="3840" style="2" width="41.33"/>
    <col collapsed="false" customWidth="false" hidden="false" outlineLevel="0" max="3842" min="3841" style="2" width="9.11"/>
    <col collapsed="false" customWidth="true" hidden="false" outlineLevel="0" max="3843" min="3843" style="2" width="7.67"/>
    <col collapsed="false" customWidth="true" hidden="false" outlineLevel="0" max="3844" min="3844" style="2" width="13.11"/>
    <col collapsed="false" customWidth="false" hidden="false" outlineLevel="0" max="4094" min="3845" style="2" width="9.11"/>
    <col collapsed="false" customWidth="true" hidden="false" outlineLevel="0" max="4095" min="4095" style="2" width="2.44"/>
    <col collapsed="false" customWidth="true" hidden="false" outlineLevel="0" max="4096" min="4096" style="2" width="41.33"/>
    <col collapsed="false" customWidth="false" hidden="false" outlineLevel="0" max="4098" min="4097" style="2" width="9.11"/>
    <col collapsed="false" customWidth="true" hidden="false" outlineLevel="0" max="4099" min="4099" style="2" width="7.67"/>
    <col collapsed="false" customWidth="true" hidden="false" outlineLevel="0" max="4100" min="4100" style="2" width="13.11"/>
    <col collapsed="false" customWidth="false" hidden="false" outlineLevel="0" max="4350" min="4101" style="2" width="9.11"/>
    <col collapsed="false" customWidth="true" hidden="false" outlineLevel="0" max="4351" min="4351" style="2" width="2.44"/>
    <col collapsed="false" customWidth="true" hidden="false" outlineLevel="0" max="4352" min="4352" style="2" width="41.33"/>
    <col collapsed="false" customWidth="false" hidden="false" outlineLevel="0" max="4354" min="4353" style="2" width="9.11"/>
    <col collapsed="false" customWidth="true" hidden="false" outlineLevel="0" max="4355" min="4355" style="2" width="7.67"/>
    <col collapsed="false" customWidth="true" hidden="false" outlineLevel="0" max="4356" min="4356" style="2" width="13.11"/>
    <col collapsed="false" customWidth="false" hidden="false" outlineLevel="0" max="4606" min="4357" style="2" width="9.11"/>
    <col collapsed="false" customWidth="true" hidden="false" outlineLevel="0" max="4607" min="4607" style="2" width="2.44"/>
    <col collapsed="false" customWidth="true" hidden="false" outlineLevel="0" max="4608" min="4608" style="2" width="41.33"/>
    <col collapsed="false" customWidth="false" hidden="false" outlineLevel="0" max="4610" min="4609" style="2" width="9.11"/>
    <col collapsed="false" customWidth="true" hidden="false" outlineLevel="0" max="4611" min="4611" style="2" width="7.67"/>
    <col collapsed="false" customWidth="true" hidden="false" outlineLevel="0" max="4612" min="4612" style="2" width="13.11"/>
    <col collapsed="false" customWidth="false" hidden="false" outlineLevel="0" max="4862" min="4613" style="2" width="9.11"/>
    <col collapsed="false" customWidth="true" hidden="false" outlineLevel="0" max="4863" min="4863" style="2" width="2.44"/>
    <col collapsed="false" customWidth="true" hidden="false" outlineLevel="0" max="4864" min="4864" style="2" width="41.33"/>
    <col collapsed="false" customWidth="false" hidden="false" outlineLevel="0" max="4866" min="4865" style="2" width="9.11"/>
    <col collapsed="false" customWidth="true" hidden="false" outlineLevel="0" max="4867" min="4867" style="2" width="7.67"/>
    <col collapsed="false" customWidth="true" hidden="false" outlineLevel="0" max="4868" min="4868" style="2" width="13.11"/>
    <col collapsed="false" customWidth="false" hidden="false" outlineLevel="0" max="5118" min="4869" style="2" width="9.11"/>
    <col collapsed="false" customWidth="true" hidden="false" outlineLevel="0" max="5119" min="5119" style="2" width="2.44"/>
    <col collapsed="false" customWidth="true" hidden="false" outlineLevel="0" max="5120" min="5120" style="2" width="41.33"/>
    <col collapsed="false" customWidth="false" hidden="false" outlineLevel="0" max="5122" min="5121" style="2" width="9.11"/>
    <col collapsed="false" customWidth="true" hidden="false" outlineLevel="0" max="5123" min="5123" style="2" width="7.67"/>
    <col collapsed="false" customWidth="true" hidden="false" outlineLevel="0" max="5124" min="5124" style="2" width="13.11"/>
    <col collapsed="false" customWidth="false" hidden="false" outlineLevel="0" max="5374" min="5125" style="2" width="9.11"/>
    <col collapsed="false" customWidth="true" hidden="false" outlineLevel="0" max="5375" min="5375" style="2" width="2.44"/>
    <col collapsed="false" customWidth="true" hidden="false" outlineLevel="0" max="5376" min="5376" style="2" width="41.33"/>
    <col collapsed="false" customWidth="false" hidden="false" outlineLevel="0" max="5378" min="5377" style="2" width="9.11"/>
    <col collapsed="false" customWidth="true" hidden="false" outlineLevel="0" max="5379" min="5379" style="2" width="7.67"/>
    <col collapsed="false" customWidth="true" hidden="false" outlineLevel="0" max="5380" min="5380" style="2" width="13.11"/>
    <col collapsed="false" customWidth="false" hidden="false" outlineLevel="0" max="5630" min="5381" style="2" width="9.11"/>
    <col collapsed="false" customWidth="true" hidden="false" outlineLevel="0" max="5631" min="5631" style="2" width="2.44"/>
    <col collapsed="false" customWidth="true" hidden="false" outlineLevel="0" max="5632" min="5632" style="2" width="41.33"/>
    <col collapsed="false" customWidth="false" hidden="false" outlineLevel="0" max="5634" min="5633" style="2" width="9.11"/>
    <col collapsed="false" customWidth="true" hidden="false" outlineLevel="0" max="5635" min="5635" style="2" width="7.67"/>
    <col collapsed="false" customWidth="true" hidden="false" outlineLevel="0" max="5636" min="5636" style="2" width="13.11"/>
    <col collapsed="false" customWidth="false" hidden="false" outlineLevel="0" max="5886" min="5637" style="2" width="9.11"/>
    <col collapsed="false" customWidth="true" hidden="false" outlineLevel="0" max="5887" min="5887" style="2" width="2.44"/>
    <col collapsed="false" customWidth="true" hidden="false" outlineLevel="0" max="5888" min="5888" style="2" width="41.33"/>
    <col collapsed="false" customWidth="false" hidden="false" outlineLevel="0" max="5890" min="5889" style="2" width="9.11"/>
    <col collapsed="false" customWidth="true" hidden="false" outlineLevel="0" max="5891" min="5891" style="2" width="7.67"/>
    <col collapsed="false" customWidth="true" hidden="false" outlineLevel="0" max="5892" min="5892" style="2" width="13.11"/>
    <col collapsed="false" customWidth="false" hidden="false" outlineLevel="0" max="6142" min="5893" style="2" width="9.11"/>
    <col collapsed="false" customWidth="true" hidden="false" outlineLevel="0" max="6143" min="6143" style="2" width="2.44"/>
    <col collapsed="false" customWidth="true" hidden="false" outlineLevel="0" max="6144" min="6144" style="2" width="41.33"/>
    <col collapsed="false" customWidth="false" hidden="false" outlineLevel="0" max="6146" min="6145" style="2" width="9.11"/>
    <col collapsed="false" customWidth="true" hidden="false" outlineLevel="0" max="6147" min="6147" style="2" width="7.67"/>
    <col collapsed="false" customWidth="true" hidden="false" outlineLevel="0" max="6148" min="6148" style="2" width="13.11"/>
    <col collapsed="false" customWidth="false" hidden="false" outlineLevel="0" max="6398" min="6149" style="2" width="9.11"/>
    <col collapsed="false" customWidth="true" hidden="false" outlineLevel="0" max="6399" min="6399" style="2" width="2.44"/>
    <col collapsed="false" customWidth="true" hidden="false" outlineLevel="0" max="6400" min="6400" style="2" width="41.33"/>
    <col collapsed="false" customWidth="false" hidden="false" outlineLevel="0" max="6402" min="6401" style="2" width="9.11"/>
    <col collapsed="false" customWidth="true" hidden="false" outlineLevel="0" max="6403" min="6403" style="2" width="7.67"/>
    <col collapsed="false" customWidth="true" hidden="false" outlineLevel="0" max="6404" min="6404" style="2" width="13.11"/>
    <col collapsed="false" customWidth="false" hidden="false" outlineLevel="0" max="6654" min="6405" style="2" width="9.11"/>
    <col collapsed="false" customWidth="true" hidden="false" outlineLevel="0" max="6655" min="6655" style="2" width="2.44"/>
    <col collapsed="false" customWidth="true" hidden="false" outlineLevel="0" max="6656" min="6656" style="2" width="41.33"/>
    <col collapsed="false" customWidth="false" hidden="false" outlineLevel="0" max="6658" min="6657" style="2" width="9.11"/>
    <col collapsed="false" customWidth="true" hidden="false" outlineLevel="0" max="6659" min="6659" style="2" width="7.67"/>
    <col collapsed="false" customWidth="true" hidden="false" outlineLevel="0" max="6660" min="6660" style="2" width="13.11"/>
    <col collapsed="false" customWidth="false" hidden="false" outlineLevel="0" max="6910" min="6661" style="2" width="9.11"/>
    <col collapsed="false" customWidth="true" hidden="false" outlineLevel="0" max="6911" min="6911" style="2" width="2.44"/>
    <col collapsed="false" customWidth="true" hidden="false" outlineLevel="0" max="6912" min="6912" style="2" width="41.33"/>
    <col collapsed="false" customWidth="false" hidden="false" outlineLevel="0" max="6914" min="6913" style="2" width="9.11"/>
    <col collapsed="false" customWidth="true" hidden="false" outlineLevel="0" max="6915" min="6915" style="2" width="7.67"/>
    <col collapsed="false" customWidth="true" hidden="false" outlineLevel="0" max="6916" min="6916" style="2" width="13.11"/>
    <col collapsed="false" customWidth="false" hidden="false" outlineLevel="0" max="7166" min="6917" style="2" width="9.11"/>
    <col collapsed="false" customWidth="true" hidden="false" outlineLevel="0" max="7167" min="7167" style="2" width="2.44"/>
    <col collapsed="false" customWidth="true" hidden="false" outlineLevel="0" max="7168" min="7168" style="2" width="41.33"/>
    <col collapsed="false" customWidth="false" hidden="false" outlineLevel="0" max="7170" min="7169" style="2" width="9.11"/>
    <col collapsed="false" customWidth="true" hidden="false" outlineLevel="0" max="7171" min="7171" style="2" width="7.67"/>
    <col collapsed="false" customWidth="true" hidden="false" outlineLevel="0" max="7172" min="7172" style="2" width="13.11"/>
    <col collapsed="false" customWidth="false" hidden="false" outlineLevel="0" max="7422" min="7173" style="2" width="9.11"/>
    <col collapsed="false" customWidth="true" hidden="false" outlineLevel="0" max="7423" min="7423" style="2" width="2.44"/>
    <col collapsed="false" customWidth="true" hidden="false" outlineLevel="0" max="7424" min="7424" style="2" width="41.33"/>
    <col collapsed="false" customWidth="false" hidden="false" outlineLevel="0" max="7426" min="7425" style="2" width="9.11"/>
    <col collapsed="false" customWidth="true" hidden="false" outlineLevel="0" max="7427" min="7427" style="2" width="7.67"/>
    <col collapsed="false" customWidth="true" hidden="false" outlineLevel="0" max="7428" min="7428" style="2" width="13.11"/>
    <col collapsed="false" customWidth="false" hidden="false" outlineLevel="0" max="7678" min="7429" style="2" width="9.11"/>
    <col collapsed="false" customWidth="true" hidden="false" outlineLevel="0" max="7679" min="7679" style="2" width="2.44"/>
    <col collapsed="false" customWidth="true" hidden="false" outlineLevel="0" max="7680" min="7680" style="2" width="41.33"/>
    <col collapsed="false" customWidth="false" hidden="false" outlineLevel="0" max="7682" min="7681" style="2" width="9.11"/>
    <col collapsed="false" customWidth="true" hidden="false" outlineLevel="0" max="7683" min="7683" style="2" width="7.67"/>
    <col collapsed="false" customWidth="true" hidden="false" outlineLevel="0" max="7684" min="7684" style="2" width="13.11"/>
    <col collapsed="false" customWidth="false" hidden="false" outlineLevel="0" max="7934" min="7685" style="2" width="9.11"/>
    <col collapsed="false" customWidth="true" hidden="false" outlineLevel="0" max="7935" min="7935" style="2" width="2.44"/>
    <col collapsed="false" customWidth="true" hidden="false" outlineLevel="0" max="7936" min="7936" style="2" width="41.33"/>
    <col collapsed="false" customWidth="false" hidden="false" outlineLevel="0" max="7938" min="7937" style="2" width="9.11"/>
    <col collapsed="false" customWidth="true" hidden="false" outlineLevel="0" max="7939" min="7939" style="2" width="7.67"/>
    <col collapsed="false" customWidth="true" hidden="false" outlineLevel="0" max="7940" min="7940" style="2" width="13.11"/>
    <col collapsed="false" customWidth="false" hidden="false" outlineLevel="0" max="8190" min="7941" style="2" width="9.11"/>
    <col collapsed="false" customWidth="true" hidden="false" outlineLevel="0" max="8191" min="8191" style="2" width="2.44"/>
    <col collapsed="false" customWidth="true" hidden="false" outlineLevel="0" max="8192" min="8192" style="2" width="41.33"/>
    <col collapsed="false" customWidth="false" hidden="false" outlineLevel="0" max="8194" min="8193" style="2" width="9.11"/>
    <col collapsed="false" customWidth="true" hidden="false" outlineLevel="0" max="8195" min="8195" style="2" width="7.67"/>
    <col collapsed="false" customWidth="true" hidden="false" outlineLevel="0" max="8196" min="8196" style="2" width="13.11"/>
    <col collapsed="false" customWidth="false" hidden="false" outlineLevel="0" max="8446" min="8197" style="2" width="9.11"/>
    <col collapsed="false" customWidth="true" hidden="false" outlineLevel="0" max="8447" min="8447" style="2" width="2.44"/>
    <col collapsed="false" customWidth="true" hidden="false" outlineLevel="0" max="8448" min="8448" style="2" width="41.33"/>
    <col collapsed="false" customWidth="false" hidden="false" outlineLevel="0" max="8450" min="8449" style="2" width="9.11"/>
    <col collapsed="false" customWidth="true" hidden="false" outlineLevel="0" max="8451" min="8451" style="2" width="7.67"/>
    <col collapsed="false" customWidth="true" hidden="false" outlineLevel="0" max="8452" min="8452" style="2" width="13.11"/>
    <col collapsed="false" customWidth="false" hidden="false" outlineLevel="0" max="8702" min="8453" style="2" width="9.11"/>
    <col collapsed="false" customWidth="true" hidden="false" outlineLevel="0" max="8703" min="8703" style="2" width="2.44"/>
    <col collapsed="false" customWidth="true" hidden="false" outlineLevel="0" max="8704" min="8704" style="2" width="41.33"/>
    <col collapsed="false" customWidth="false" hidden="false" outlineLevel="0" max="8706" min="8705" style="2" width="9.11"/>
    <col collapsed="false" customWidth="true" hidden="false" outlineLevel="0" max="8707" min="8707" style="2" width="7.67"/>
    <col collapsed="false" customWidth="true" hidden="false" outlineLevel="0" max="8708" min="8708" style="2" width="13.11"/>
    <col collapsed="false" customWidth="false" hidden="false" outlineLevel="0" max="8958" min="8709" style="2" width="9.11"/>
    <col collapsed="false" customWidth="true" hidden="false" outlineLevel="0" max="8959" min="8959" style="2" width="2.44"/>
    <col collapsed="false" customWidth="true" hidden="false" outlineLevel="0" max="8960" min="8960" style="2" width="41.33"/>
    <col collapsed="false" customWidth="false" hidden="false" outlineLevel="0" max="8962" min="8961" style="2" width="9.11"/>
    <col collapsed="false" customWidth="true" hidden="false" outlineLevel="0" max="8963" min="8963" style="2" width="7.67"/>
    <col collapsed="false" customWidth="true" hidden="false" outlineLevel="0" max="8964" min="8964" style="2" width="13.11"/>
    <col collapsed="false" customWidth="false" hidden="false" outlineLevel="0" max="9214" min="8965" style="2" width="9.11"/>
    <col collapsed="false" customWidth="true" hidden="false" outlineLevel="0" max="9215" min="9215" style="2" width="2.44"/>
    <col collapsed="false" customWidth="true" hidden="false" outlineLevel="0" max="9216" min="9216" style="2" width="41.33"/>
    <col collapsed="false" customWidth="false" hidden="false" outlineLevel="0" max="9218" min="9217" style="2" width="9.11"/>
    <col collapsed="false" customWidth="true" hidden="false" outlineLevel="0" max="9219" min="9219" style="2" width="7.67"/>
    <col collapsed="false" customWidth="true" hidden="false" outlineLevel="0" max="9220" min="9220" style="2" width="13.11"/>
    <col collapsed="false" customWidth="false" hidden="false" outlineLevel="0" max="9470" min="9221" style="2" width="9.11"/>
    <col collapsed="false" customWidth="true" hidden="false" outlineLevel="0" max="9471" min="9471" style="2" width="2.44"/>
    <col collapsed="false" customWidth="true" hidden="false" outlineLevel="0" max="9472" min="9472" style="2" width="41.33"/>
    <col collapsed="false" customWidth="false" hidden="false" outlineLevel="0" max="9474" min="9473" style="2" width="9.11"/>
    <col collapsed="false" customWidth="true" hidden="false" outlineLevel="0" max="9475" min="9475" style="2" width="7.67"/>
    <col collapsed="false" customWidth="true" hidden="false" outlineLevel="0" max="9476" min="9476" style="2" width="13.11"/>
    <col collapsed="false" customWidth="false" hidden="false" outlineLevel="0" max="9726" min="9477" style="2" width="9.11"/>
    <col collapsed="false" customWidth="true" hidden="false" outlineLevel="0" max="9727" min="9727" style="2" width="2.44"/>
    <col collapsed="false" customWidth="true" hidden="false" outlineLevel="0" max="9728" min="9728" style="2" width="41.33"/>
    <col collapsed="false" customWidth="false" hidden="false" outlineLevel="0" max="9730" min="9729" style="2" width="9.11"/>
    <col collapsed="false" customWidth="true" hidden="false" outlineLevel="0" max="9731" min="9731" style="2" width="7.67"/>
    <col collapsed="false" customWidth="true" hidden="false" outlineLevel="0" max="9732" min="9732" style="2" width="13.11"/>
    <col collapsed="false" customWidth="false" hidden="false" outlineLevel="0" max="9982" min="9733" style="2" width="9.11"/>
    <col collapsed="false" customWidth="true" hidden="false" outlineLevel="0" max="9983" min="9983" style="2" width="2.44"/>
    <col collapsed="false" customWidth="true" hidden="false" outlineLevel="0" max="9984" min="9984" style="2" width="41.33"/>
    <col collapsed="false" customWidth="false" hidden="false" outlineLevel="0" max="9986" min="9985" style="2" width="9.11"/>
    <col collapsed="false" customWidth="true" hidden="false" outlineLevel="0" max="9987" min="9987" style="2" width="7.67"/>
    <col collapsed="false" customWidth="true" hidden="false" outlineLevel="0" max="9988" min="9988" style="2" width="13.11"/>
    <col collapsed="false" customWidth="false" hidden="false" outlineLevel="0" max="10238" min="9989" style="2" width="9.11"/>
    <col collapsed="false" customWidth="true" hidden="false" outlineLevel="0" max="10239" min="10239" style="2" width="2.44"/>
    <col collapsed="false" customWidth="true" hidden="false" outlineLevel="0" max="10240" min="10240" style="2" width="41.33"/>
    <col collapsed="false" customWidth="false" hidden="false" outlineLevel="0" max="10242" min="10241" style="2" width="9.11"/>
    <col collapsed="false" customWidth="true" hidden="false" outlineLevel="0" max="10243" min="10243" style="2" width="7.67"/>
    <col collapsed="false" customWidth="true" hidden="false" outlineLevel="0" max="10244" min="10244" style="2" width="13.11"/>
    <col collapsed="false" customWidth="false" hidden="false" outlineLevel="0" max="10494" min="10245" style="2" width="9.11"/>
    <col collapsed="false" customWidth="true" hidden="false" outlineLevel="0" max="10495" min="10495" style="2" width="2.44"/>
    <col collapsed="false" customWidth="true" hidden="false" outlineLevel="0" max="10496" min="10496" style="2" width="41.33"/>
    <col collapsed="false" customWidth="false" hidden="false" outlineLevel="0" max="10498" min="10497" style="2" width="9.11"/>
    <col collapsed="false" customWidth="true" hidden="false" outlineLevel="0" max="10499" min="10499" style="2" width="7.67"/>
    <col collapsed="false" customWidth="true" hidden="false" outlineLevel="0" max="10500" min="10500" style="2" width="13.11"/>
    <col collapsed="false" customWidth="false" hidden="false" outlineLevel="0" max="10750" min="10501" style="2" width="9.11"/>
    <col collapsed="false" customWidth="true" hidden="false" outlineLevel="0" max="10751" min="10751" style="2" width="2.44"/>
    <col collapsed="false" customWidth="true" hidden="false" outlineLevel="0" max="10752" min="10752" style="2" width="41.33"/>
    <col collapsed="false" customWidth="false" hidden="false" outlineLevel="0" max="10754" min="10753" style="2" width="9.11"/>
    <col collapsed="false" customWidth="true" hidden="false" outlineLevel="0" max="10755" min="10755" style="2" width="7.67"/>
    <col collapsed="false" customWidth="true" hidden="false" outlineLevel="0" max="10756" min="10756" style="2" width="13.11"/>
    <col collapsed="false" customWidth="false" hidden="false" outlineLevel="0" max="11006" min="10757" style="2" width="9.11"/>
    <col collapsed="false" customWidth="true" hidden="false" outlineLevel="0" max="11007" min="11007" style="2" width="2.44"/>
    <col collapsed="false" customWidth="true" hidden="false" outlineLevel="0" max="11008" min="11008" style="2" width="41.33"/>
    <col collapsed="false" customWidth="false" hidden="false" outlineLevel="0" max="11010" min="11009" style="2" width="9.11"/>
    <col collapsed="false" customWidth="true" hidden="false" outlineLevel="0" max="11011" min="11011" style="2" width="7.67"/>
    <col collapsed="false" customWidth="true" hidden="false" outlineLevel="0" max="11012" min="11012" style="2" width="13.11"/>
    <col collapsed="false" customWidth="false" hidden="false" outlineLevel="0" max="11262" min="11013" style="2" width="9.11"/>
    <col collapsed="false" customWidth="true" hidden="false" outlineLevel="0" max="11263" min="11263" style="2" width="2.44"/>
    <col collapsed="false" customWidth="true" hidden="false" outlineLevel="0" max="11264" min="11264" style="2" width="41.33"/>
    <col collapsed="false" customWidth="false" hidden="false" outlineLevel="0" max="11266" min="11265" style="2" width="9.11"/>
    <col collapsed="false" customWidth="true" hidden="false" outlineLevel="0" max="11267" min="11267" style="2" width="7.67"/>
    <col collapsed="false" customWidth="true" hidden="false" outlineLevel="0" max="11268" min="11268" style="2" width="13.11"/>
    <col collapsed="false" customWidth="false" hidden="false" outlineLevel="0" max="11518" min="11269" style="2" width="9.11"/>
    <col collapsed="false" customWidth="true" hidden="false" outlineLevel="0" max="11519" min="11519" style="2" width="2.44"/>
    <col collapsed="false" customWidth="true" hidden="false" outlineLevel="0" max="11520" min="11520" style="2" width="41.33"/>
    <col collapsed="false" customWidth="false" hidden="false" outlineLevel="0" max="11522" min="11521" style="2" width="9.11"/>
    <col collapsed="false" customWidth="true" hidden="false" outlineLevel="0" max="11523" min="11523" style="2" width="7.67"/>
    <col collapsed="false" customWidth="true" hidden="false" outlineLevel="0" max="11524" min="11524" style="2" width="13.11"/>
    <col collapsed="false" customWidth="false" hidden="false" outlineLevel="0" max="11774" min="11525" style="2" width="9.11"/>
    <col collapsed="false" customWidth="true" hidden="false" outlineLevel="0" max="11775" min="11775" style="2" width="2.44"/>
    <col collapsed="false" customWidth="true" hidden="false" outlineLevel="0" max="11776" min="11776" style="2" width="41.33"/>
    <col collapsed="false" customWidth="false" hidden="false" outlineLevel="0" max="11778" min="11777" style="2" width="9.11"/>
    <col collapsed="false" customWidth="true" hidden="false" outlineLevel="0" max="11779" min="11779" style="2" width="7.67"/>
    <col collapsed="false" customWidth="true" hidden="false" outlineLevel="0" max="11780" min="11780" style="2" width="13.11"/>
    <col collapsed="false" customWidth="false" hidden="false" outlineLevel="0" max="12030" min="11781" style="2" width="9.11"/>
    <col collapsed="false" customWidth="true" hidden="false" outlineLevel="0" max="12031" min="12031" style="2" width="2.44"/>
    <col collapsed="false" customWidth="true" hidden="false" outlineLevel="0" max="12032" min="12032" style="2" width="41.33"/>
    <col collapsed="false" customWidth="false" hidden="false" outlineLevel="0" max="12034" min="12033" style="2" width="9.11"/>
    <col collapsed="false" customWidth="true" hidden="false" outlineLevel="0" max="12035" min="12035" style="2" width="7.67"/>
    <col collapsed="false" customWidth="true" hidden="false" outlineLevel="0" max="12036" min="12036" style="2" width="13.11"/>
    <col collapsed="false" customWidth="false" hidden="false" outlineLevel="0" max="12286" min="12037" style="2" width="9.11"/>
    <col collapsed="false" customWidth="true" hidden="false" outlineLevel="0" max="12287" min="12287" style="2" width="2.44"/>
    <col collapsed="false" customWidth="true" hidden="false" outlineLevel="0" max="12288" min="12288" style="2" width="41.33"/>
    <col collapsed="false" customWidth="false" hidden="false" outlineLevel="0" max="12290" min="12289" style="2" width="9.11"/>
    <col collapsed="false" customWidth="true" hidden="false" outlineLevel="0" max="12291" min="12291" style="2" width="7.67"/>
    <col collapsed="false" customWidth="true" hidden="false" outlineLevel="0" max="12292" min="12292" style="2" width="13.11"/>
    <col collapsed="false" customWidth="false" hidden="false" outlineLevel="0" max="12542" min="12293" style="2" width="9.11"/>
    <col collapsed="false" customWidth="true" hidden="false" outlineLevel="0" max="12543" min="12543" style="2" width="2.44"/>
    <col collapsed="false" customWidth="true" hidden="false" outlineLevel="0" max="12544" min="12544" style="2" width="41.33"/>
    <col collapsed="false" customWidth="false" hidden="false" outlineLevel="0" max="12546" min="12545" style="2" width="9.11"/>
    <col collapsed="false" customWidth="true" hidden="false" outlineLevel="0" max="12547" min="12547" style="2" width="7.67"/>
    <col collapsed="false" customWidth="true" hidden="false" outlineLevel="0" max="12548" min="12548" style="2" width="13.11"/>
    <col collapsed="false" customWidth="false" hidden="false" outlineLevel="0" max="12798" min="12549" style="2" width="9.11"/>
    <col collapsed="false" customWidth="true" hidden="false" outlineLevel="0" max="12799" min="12799" style="2" width="2.44"/>
    <col collapsed="false" customWidth="true" hidden="false" outlineLevel="0" max="12800" min="12800" style="2" width="41.33"/>
    <col collapsed="false" customWidth="false" hidden="false" outlineLevel="0" max="12802" min="12801" style="2" width="9.11"/>
    <col collapsed="false" customWidth="true" hidden="false" outlineLevel="0" max="12803" min="12803" style="2" width="7.67"/>
    <col collapsed="false" customWidth="true" hidden="false" outlineLevel="0" max="12804" min="12804" style="2" width="13.11"/>
    <col collapsed="false" customWidth="false" hidden="false" outlineLevel="0" max="13054" min="12805" style="2" width="9.11"/>
    <col collapsed="false" customWidth="true" hidden="false" outlineLevel="0" max="13055" min="13055" style="2" width="2.44"/>
    <col collapsed="false" customWidth="true" hidden="false" outlineLevel="0" max="13056" min="13056" style="2" width="41.33"/>
    <col collapsed="false" customWidth="false" hidden="false" outlineLevel="0" max="13058" min="13057" style="2" width="9.11"/>
    <col collapsed="false" customWidth="true" hidden="false" outlineLevel="0" max="13059" min="13059" style="2" width="7.67"/>
    <col collapsed="false" customWidth="true" hidden="false" outlineLevel="0" max="13060" min="13060" style="2" width="13.11"/>
    <col collapsed="false" customWidth="false" hidden="false" outlineLevel="0" max="13310" min="13061" style="2" width="9.11"/>
    <col collapsed="false" customWidth="true" hidden="false" outlineLevel="0" max="13311" min="13311" style="2" width="2.44"/>
    <col collapsed="false" customWidth="true" hidden="false" outlineLevel="0" max="13312" min="13312" style="2" width="41.33"/>
    <col collapsed="false" customWidth="false" hidden="false" outlineLevel="0" max="13314" min="13313" style="2" width="9.11"/>
    <col collapsed="false" customWidth="true" hidden="false" outlineLevel="0" max="13315" min="13315" style="2" width="7.67"/>
    <col collapsed="false" customWidth="true" hidden="false" outlineLevel="0" max="13316" min="13316" style="2" width="13.11"/>
    <col collapsed="false" customWidth="false" hidden="false" outlineLevel="0" max="13566" min="13317" style="2" width="9.11"/>
    <col collapsed="false" customWidth="true" hidden="false" outlineLevel="0" max="13567" min="13567" style="2" width="2.44"/>
    <col collapsed="false" customWidth="true" hidden="false" outlineLevel="0" max="13568" min="13568" style="2" width="41.33"/>
    <col collapsed="false" customWidth="false" hidden="false" outlineLevel="0" max="13570" min="13569" style="2" width="9.11"/>
    <col collapsed="false" customWidth="true" hidden="false" outlineLevel="0" max="13571" min="13571" style="2" width="7.67"/>
    <col collapsed="false" customWidth="true" hidden="false" outlineLevel="0" max="13572" min="13572" style="2" width="13.11"/>
    <col collapsed="false" customWidth="false" hidden="false" outlineLevel="0" max="13822" min="13573" style="2" width="9.11"/>
    <col collapsed="false" customWidth="true" hidden="false" outlineLevel="0" max="13823" min="13823" style="2" width="2.44"/>
    <col collapsed="false" customWidth="true" hidden="false" outlineLevel="0" max="13824" min="13824" style="2" width="41.33"/>
    <col collapsed="false" customWidth="false" hidden="false" outlineLevel="0" max="13826" min="13825" style="2" width="9.11"/>
    <col collapsed="false" customWidth="true" hidden="false" outlineLevel="0" max="13827" min="13827" style="2" width="7.67"/>
    <col collapsed="false" customWidth="true" hidden="false" outlineLevel="0" max="13828" min="13828" style="2" width="13.11"/>
    <col collapsed="false" customWidth="false" hidden="false" outlineLevel="0" max="14078" min="13829" style="2" width="9.11"/>
    <col collapsed="false" customWidth="true" hidden="false" outlineLevel="0" max="14079" min="14079" style="2" width="2.44"/>
    <col collapsed="false" customWidth="true" hidden="false" outlineLevel="0" max="14080" min="14080" style="2" width="41.33"/>
    <col collapsed="false" customWidth="false" hidden="false" outlineLevel="0" max="14082" min="14081" style="2" width="9.11"/>
    <col collapsed="false" customWidth="true" hidden="false" outlineLevel="0" max="14083" min="14083" style="2" width="7.67"/>
    <col collapsed="false" customWidth="true" hidden="false" outlineLevel="0" max="14084" min="14084" style="2" width="13.11"/>
    <col collapsed="false" customWidth="false" hidden="false" outlineLevel="0" max="14334" min="14085" style="2" width="9.11"/>
    <col collapsed="false" customWidth="true" hidden="false" outlineLevel="0" max="14335" min="14335" style="2" width="2.44"/>
    <col collapsed="false" customWidth="true" hidden="false" outlineLevel="0" max="14336" min="14336" style="2" width="41.33"/>
    <col collapsed="false" customWidth="false" hidden="false" outlineLevel="0" max="14338" min="14337" style="2" width="9.11"/>
    <col collapsed="false" customWidth="true" hidden="false" outlineLevel="0" max="14339" min="14339" style="2" width="7.67"/>
    <col collapsed="false" customWidth="true" hidden="false" outlineLevel="0" max="14340" min="14340" style="2" width="13.11"/>
    <col collapsed="false" customWidth="false" hidden="false" outlineLevel="0" max="14590" min="14341" style="2" width="9.11"/>
    <col collapsed="false" customWidth="true" hidden="false" outlineLevel="0" max="14591" min="14591" style="2" width="2.44"/>
    <col collapsed="false" customWidth="true" hidden="false" outlineLevel="0" max="14592" min="14592" style="2" width="41.33"/>
    <col collapsed="false" customWidth="false" hidden="false" outlineLevel="0" max="14594" min="14593" style="2" width="9.11"/>
    <col collapsed="false" customWidth="true" hidden="false" outlineLevel="0" max="14595" min="14595" style="2" width="7.67"/>
    <col collapsed="false" customWidth="true" hidden="false" outlineLevel="0" max="14596" min="14596" style="2" width="13.11"/>
    <col collapsed="false" customWidth="false" hidden="false" outlineLevel="0" max="14846" min="14597" style="2" width="9.11"/>
    <col collapsed="false" customWidth="true" hidden="false" outlineLevel="0" max="14847" min="14847" style="2" width="2.44"/>
    <col collapsed="false" customWidth="true" hidden="false" outlineLevel="0" max="14848" min="14848" style="2" width="41.33"/>
    <col collapsed="false" customWidth="false" hidden="false" outlineLevel="0" max="14850" min="14849" style="2" width="9.11"/>
    <col collapsed="false" customWidth="true" hidden="false" outlineLevel="0" max="14851" min="14851" style="2" width="7.67"/>
    <col collapsed="false" customWidth="true" hidden="false" outlineLevel="0" max="14852" min="14852" style="2" width="13.11"/>
    <col collapsed="false" customWidth="false" hidden="false" outlineLevel="0" max="15102" min="14853" style="2" width="9.11"/>
    <col collapsed="false" customWidth="true" hidden="false" outlineLevel="0" max="15103" min="15103" style="2" width="2.44"/>
    <col collapsed="false" customWidth="true" hidden="false" outlineLevel="0" max="15104" min="15104" style="2" width="41.33"/>
    <col collapsed="false" customWidth="false" hidden="false" outlineLevel="0" max="15106" min="15105" style="2" width="9.11"/>
    <col collapsed="false" customWidth="true" hidden="false" outlineLevel="0" max="15107" min="15107" style="2" width="7.67"/>
    <col collapsed="false" customWidth="true" hidden="false" outlineLevel="0" max="15108" min="15108" style="2" width="13.11"/>
    <col collapsed="false" customWidth="false" hidden="false" outlineLevel="0" max="15358" min="15109" style="2" width="9.11"/>
    <col collapsed="false" customWidth="true" hidden="false" outlineLevel="0" max="15359" min="15359" style="2" width="2.44"/>
    <col collapsed="false" customWidth="true" hidden="false" outlineLevel="0" max="15360" min="15360" style="2" width="41.33"/>
    <col collapsed="false" customWidth="false" hidden="false" outlineLevel="0" max="15362" min="15361" style="2" width="9.11"/>
    <col collapsed="false" customWidth="true" hidden="false" outlineLevel="0" max="15363" min="15363" style="2" width="7.67"/>
    <col collapsed="false" customWidth="true" hidden="false" outlineLevel="0" max="15364" min="15364" style="2" width="13.11"/>
    <col collapsed="false" customWidth="false" hidden="false" outlineLevel="0" max="15614" min="15365" style="2" width="9.11"/>
    <col collapsed="false" customWidth="true" hidden="false" outlineLevel="0" max="15615" min="15615" style="2" width="2.44"/>
    <col collapsed="false" customWidth="true" hidden="false" outlineLevel="0" max="15616" min="15616" style="2" width="41.33"/>
    <col collapsed="false" customWidth="false" hidden="false" outlineLevel="0" max="15618" min="15617" style="2" width="9.11"/>
    <col collapsed="false" customWidth="true" hidden="false" outlineLevel="0" max="15619" min="15619" style="2" width="7.67"/>
    <col collapsed="false" customWidth="true" hidden="false" outlineLevel="0" max="15620" min="15620" style="2" width="13.11"/>
    <col collapsed="false" customWidth="false" hidden="false" outlineLevel="0" max="15870" min="15621" style="2" width="9.11"/>
    <col collapsed="false" customWidth="true" hidden="false" outlineLevel="0" max="15871" min="15871" style="2" width="2.44"/>
    <col collapsed="false" customWidth="true" hidden="false" outlineLevel="0" max="15872" min="15872" style="2" width="41.33"/>
    <col collapsed="false" customWidth="false" hidden="false" outlineLevel="0" max="15874" min="15873" style="2" width="9.11"/>
    <col collapsed="false" customWidth="true" hidden="false" outlineLevel="0" max="15875" min="15875" style="2" width="7.67"/>
    <col collapsed="false" customWidth="true" hidden="false" outlineLevel="0" max="15876" min="15876" style="2" width="13.11"/>
    <col collapsed="false" customWidth="false" hidden="false" outlineLevel="0" max="16126" min="15877" style="2" width="9.11"/>
    <col collapsed="false" customWidth="true" hidden="false" outlineLevel="0" max="16127" min="16127" style="2" width="2.44"/>
    <col collapsed="false" customWidth="true" hidden="false" outlineLevel="0" max="16128" min="16128" style="2" width="41.33"/>
    <col collapsed="false" customWidth="false" hidden="false" outlineLevel="0" max="16130" min="16129" style="2" width="9.11"/>
    <col collapsed="false" customWidth="true" hidden="false" outlineLevel="0" max="16131" min="16131" style="2" width="7.67"/>
    <col collapsed="false" customWidth="true" hidden="false" outlineLevel="0" max="16132" min="16132" style="2" width="13.11"/>
    <col collapsed="false" customWidth="false" hidden="false" outlineLevel="0" max="16384" min="16133" style="2" width="9.11"/>
  </cols>
  <sheetData>
    <row r="1" customFormat="false" ht="21.75" hidden="false" customHeight="true" outlineLevel="0" collapsed="false">
      <c r="A1" s="384" t="s">
        <v>0</v>
      </c>
    </row>
    <row r="2" s="2" customFormat="true" ht="18" hidden="false" customHeight="true" outlineLevel="0" collapsed="false">
      <c r="B2" s="385" t="s">
        <v>210</v>
      </c>
      <c r="C2" s="5"/>
      <c r="D2" s="5"/>
      <c r="E2" s="5"/>
      <c r="F2" s="5"/>
      <c r="G2" s="5"/>
      <c r="H2" s="5"/>
      <c r="I2" s="5"/>
      <c r="J2" s="5"/>
    </row>
    <row r="3" s="2" customFormat="true" ht="13.5" hidden="false" customHeight="true" outlineLevel="0" collapsed="false"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</row>
    <row r="4" s="2" customFormat="true" ht="13.5" hidden="false" customHeight="true" outlineLevel="0" collapsed="false">
      <c r="B4" s="386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</row>
    <row r="5" customFormat="false" ht="13.5" hidden="false" customHeight="true" outlineLevel="0" collapsed="false">
      <c r="B5" s="142"/>
      <c r="C5" s="5"/>
      <c r="D5" s="5"/>
      <c r="E5" s="5"/>
      <c r="F5" s="5"/>
      <c r="G5" s="5"/>
      <c r="H5" s="5"/>
      <c r="I5" s="5"/>
      <c r="J5" s="5"/>
    </row>
    <row r="6" customFormat="false" ht="13.5" hidden="false" customHeight="true" outlineLevel="0" collapsed="false">
      <c r="B6" s="2" t="s">
        <v>211</v>
      </c>
      <c r="C6" s="387"/>
      <c r="D6" s="388"/>
      <c r="E6" s="388"/>
      <c r="F6" s="44" t="n">
        <f aca="false">'Cash Flow Statement'!F17</f>
        <v>891.973542303577</v>
      </c>
      <c r="G6" s="44" t="n">
        <f aca="false">'Cash Flow Statement'!G17</f>
        <v>964.777786954067</v>
      </c>
      <c r="H6" s="44" t="n">
        <f aca="false">'Cash Flow Statement'!H17</f>
        <v>1150.52616395313</v>
      </c>
      <c r="I6" s="44" t="n">
        <f aca="false">'Cash Flow Statement'!I17</f>
        <v>1366.20893459663</v>
      </c>
      <c r="J6" s="44" t="n">
        <f aca="false">'Cash Flow Statement'!J17</f>
        <v>1617.09180466862</v>
      </c>
    </row>
    <row r="7" customFormat="false" ht="13.5" hidden="false" customHeight="true" outlineLevel="0" collapsed="false">
      <c r="B7" s="2" t="s">
        <v>212</v>
      </c>
      <c r="C7" s="387"/>
      <c r="D7" s="388"/>
      <c r="E7" s="388"/>
      <c r="F7" s="44" t="n">
        <f aca="false">'Cash Flow Statement'!F24</f>
        <v>-351.357347660981</v>
      </c>
      <c r="G7" s="44" t="n">
        <f aca="false">'Cash Flow Statement'!G24</f>
        <v>-404.694199794263</v>
      </c>
      <c r="H7" s="44" t="n">
        <f aca="false">'Cash Flow Statement'!H24</f>
        <v>-467.024427637509</v>
      </c>
      <c r="I7" s="44" t="n">
        <f aca="false">'Cash Flow Statement'!I24</f>
        <v>-539.881215911117</v>
      </c>
      <c r="J7" s="44" t="n">
        <f aca="false">'Cash Flow Statement'!J24</f>
        <v>-625.06109442974</v>
      </c>
    </row>
    <row r="8" customFormat="false" ht="13.5" hidden="false" customHeight="true" outlineLevel="0" collapsed="false">
      <c r="B8" s="186" t="s">
        <v>213</v>
      </c>
      <c r="C8" s="389"/>
      <c r="D8" s="389"/>
      <c r="E8" s="389"/>
      <c r="F8" s="390" t="n">
        <f aca="false">SUM(F6:F7)</f>
        <v>540.616194642596</v>
      </c>
      <c r="G8" s="390" t="n">
        <f aca="false">SUM(G6:G7)</f>
        <v>560.083587159805</v>
      </c>
      <c r="H8" s="390" t="n">
        <f aca="false">SUM(H6:H7)</f>
        <v>683.50173631562</v>
      </c>
      <c r="I8" s="390" t="n">
        <f aca="false">SUM(I6:I7)</f>
        <v>826.327718685515</v>
      </c>
      <c r="J8" s="390" t="n">
        <f aca="false">SUM(J6:J7)</f>
        <v>992.030710238877</v>
      </c>
    </row>
    <row r="9" customFormat="false" ht="13.5" hidden="false" customHeight="true" outlineLevel="0" collapsed="false">
      <c r="C9" s="391"/>
      <c r="D9" s="391"/>
      <c r="E9" s="391"/>
      <c r="F9" s="139"/>
      <c r="G9" s="139"/>
      <c r="H9" s="139"/>
      <c r="I9" s="139"/>
      <c r="J9" s="139"/>
    </row>
    <row r="10" customFormat="false" ht="13.5" hidden="false" customHeight="true" outlineLevel="0" collapsed="false">
      <c r="B10" s="86" t="s">
        <v>214</v>
      </c>
      <c r="C10" s="391"/>
      <c r="D10" s="391"/>
      <c r="E10" s="391"/>
      <c r="F10" s="139"/>
      <c r="G10" s="139"/>
      <c r="H10" s="139"/>
      <c r="I10" s="139"/>
      <c r="J10" s="139"/>
    </row>
    <row r="11" customFormat="false" ht="13.5" hidden="false" customHeight="true" outlineLevel="0" collapsed="false">
      <c r="B11" s="29" t="s">
        <v>44</v>
      </c>
      <c r="C11" s="392"/>
      <c r="D11" s="393"/>
      <c r="E11" s="393"/>
      <c r="F11" s="394" t="n">
        <f aca="false">-'Shareholder''s Equity Forecast'!F7</f>
        <v>-208.563794944946</v>
      </c>
      <c r="G11" s="394" t="n">
        <f aca="false">-'Shareholder''s Equity Forecast'!G7</f>
        <v>-247.030559648403</v>
      </c>
      <c r="H11" s="394" t="n">
        <f aca="false">-'Shareholder''s Equity Forecast'!H7</f>
        <v>-292.207000639336</v>
      </c>
      <c r="I11" s="394" t="n">
        <f aca="false">-'Shareholder''s Equity Forecast'!I7</f>
        <v>-345.120364415724</v>
      </c>
      <c r="J11" s="394" t="n">
        <f aca="false">-'Shareholder''s Equity Forecast'!J7</f>
        <v>-406.592139697379</v>
      </c>
    </row>
    <row r="12" customFormat="false" ht="13.5" hidden="false" customHeight="true" outlineLevel="0" collapsed="false">
      <c r="B12" s="29" t="s">
        <v>215</v>
      </c>
      <c r="C12" s="392"/>
      <c r="D12" s="393"/>
      <c r="E12" s="393"/>
      <c r="F12" s="394" t="n">
        <f aca="false">'Shareholder''s Equity Forecast'!F19</f>
        <v>-100</v>
      </c>
      <c r="G12" s="394" t="n">
        <f aca="false">'Shareholder''s Equity Forecast'!G19</f>
        <v>-100</v>
      </c>
      <c r="H12" s="394" t="n">
        <f aca="false">'Shareholder''s Equity Forecast'!H19</f>
        <v>-100</v>
      </c>
      <c r="I12" s="394" t="n">
        <f aca="false">'Shareholder''s Equity Forecast'!I19</f>
        <v>-100</v>
      </c>
      <c r="J12" s="394" t="n">
        <f aca="false">'Shareholder''s Equity Forecast'!J19</f>
        <v>-100</v>
      </c>
    </row>
    <row r="13" customFormat="false" ht="13.5" hidden="false" customHeight="true" outlineLevel="0" collapsed="false">
      <c r="B13" s="395" t="s">
        <v>216</v>
      </c>
      <c r="C13" s="389"/>
      <c r="D13" s="389"/>
      <c r="E13" s="389"/>
      <c r="F13" s="390" t="n">
        <f aca="false">SUM(F11:F12)</f>
        <v>-308.563794944946</v>
      </c>
      <c r="G13" s="390" t="n">
        <f aca="false">SUM(G11:G12)</f>
        <v>-347.030559648403</v>
      </c>
      <c r="H13" s="390" t="n">
        <f aca="false">SUM(H11:H12)</f>
        <v>-392.207000639336</v>
      </c>
      <c r="I13" s="390" t="n">
        <f aca="false">SUM(I11:I12)</f>
        <v>-445.120364415724</v>
      </c>
      <c r="J13" s="390" t="n">
        <f aca="false">SUM(J11:J12)</f>
        <v>-506.592139697379</v>
      </c>
    </row>
    <row r="14" customFormat="false" ht="13.5" hidden="false" customHeight="true" outlineLevel="0" collapsed="false">
      <c r="C14" s="391"/>
      <c r="D14" s="391"/>
      <c r="E14" s="391"/>
      <c r="F14" s="139"/>
      <c r="G14" s="139"/>
      <c r="H14" s="139"/>
      <c r="I14" s="139"/>
      <c r="J14" s="139"/>
    </row>
    <row r="15" customFormat="false" ht="13.5" hidden="false" customHeight="true" outlineLevel="0" collapsed="false">
      <c r="B15" s="86" t="s">
        <v>217</v>
      </c>
      <c r="C15" s="391"/>
      <c r="D15" s="391"/>
      <c r="E15" s="391"/>
      <c r="F15" s="139"/>
      <c r="G15" s="139"/>
      <c r="H15" s="139"/>
      <c r="I15" s="139"/>
      <c r="J15" s="139"/>
    </row>
    <row r="16" customFormat="false" ht="13.5" hidden="false" customHeight="true" outlineLevel="0" collapsed="false">
      <c r="B16" s="2" t="s">
        <v>218</v>
      </c>
      <c r="C16" s="387"/>
      <c r="D16" s="388"/>
      <c r="E16" s="388"/>
      <c r="F16" s="44" t="n">
        <f aca="false">'Balance Sheet'!E7</f>
        <v>48.7132671456037</v>
      </c>
      <c r="G16" s="44" t="n">
        <f aca="false">'Balance Sheet'!F7</f>
        <v>30.0000000000002</v>
      </c>
      <c r="H16" s="44" t="n">
        <f aca="false">'Balance Sheet'!G7</f>
        <v>-1.32094012287916</v>
      </c>
      <c r="I16" s="44" t="n">
        <f aca="false">'Balance Sheet'!H7</f>
        <v>119.530976847194</v>
      </c>
      <c r="J16" s="44" t="n">
        <f aca="false">'Balance Sheet'!I7</f>
        <v>443.859246207103</v>
      </c>
    </row>
    <row r="17" customFormat="false" ht="13.5" hidden="false" customHeight="true" outlineLevel="0" collapsed="false">
      <c r="B17" s="2" t="s">
        <v>219</v>
      </c>
      <c r="C17" s="387"/>
      <c r="D17" s="396"/>
      <c r="E17" s="396"/>
      <c r="F17" s="178" t="n">
        <v>30</v>
      </c>
      <c r="G17" s="178" t="n">
        <v>31</v>
      </c>
      <c r="H17" s="178" t="n">
        <v>32</v>
      </c>
      <c r="I17" s="178" t="n">
        <v>33</v>
      </c>
      <c r="J17" s="178" t="n">
        <v>34</v>
      </c>
    </row>
    <row r="18" customFormat="false" ht="13.5" hidden="false" customHeight="true" outlineLevel="0" collapsed="false">
      <c r="B18" s="395" t="s">
        <v>220</v>
      </c>
      <c r="C18" s="389"/>
      <c r="D18" s="389"/>
      <c r="E18" s="389"/>
      <c r="F18" s="390" t="n">
        <f aca="false">F16-F17</f>
        <v>18.7132671456037</v>
      </c>
      <c r="G18" s="390" t="n">
        <f aca="false">G16-G17</f>
        <v>-0.999999999999773</v>
      </c>
      <c r="H18" s="390" t="n">
        <f aca="false">H16-H17</f>
        <v>-33.3209401228792</v>
      </c>
      <c r="I18" s="390" t="n">
        <f aca="false">I16-I17</f>
        <v>86.5309768471936</v>
      </c>
      <c r="J18" s="390" t="n">
        <f aca="false">J16-J17</f>
        <v>409.859246207103</v>
      </c>
    </row>
    <row r="19" customFormat="false" ht="13.5" hidden="false" customHeight="true" outlineLevel="0" collapsed="false">
      <c r="C19" s="387"/>
      <c r="D19" s="387"/>
      <c r="E19" s="387"/>
      <c r="F19" s="37"/>
      <c r="G19" s="37"/>
      <c r="H19" s="37"/>
      <c r="I19" s="37"/>
      <c r="J19" s="37"/>
    </row>
    <row r="20" customFormat="false" ht="13.5" hidden="false" customHeight="true" outlineLevel="0" collapsed="false">
      <c r="B20" s="65" t="s">
        <v>221</v>
      </c>
      <c r="C20" s="397"/>
      <c r="D20" s="397"/>
      <c r="E20" s="397"/>
      <c r="F20" s="398" t="n">
        <f aca="false">F8+F13+F18</f>
        <v>250.765666843254</v>
      </c>
      <c r="G20" s="398" t="n">
        <f aca="false">G8+G13+G18</f>
        <v>212.053027511402</v>
      </c>
      <c r="H20" s="398" t="n">
        <f aca="false">H8+H13+H18</f>
        <v>257.973795553405</v>
      </c>
      <c r="I20" s="398" t="n">
        <f aca="false">I8+I13+I18</f>
        <v>467.738331116985</v>
      </c>
      <c r="J20" s="398" t="n">
        <f aca="false">J8+J13+J18</f>
        <v>895.297816748601</v>
      </c>
    </row>
    <row r="21" customFormat="false" ht="13.5" hidden="false" customHeight="true" outlineLevel="0" collapsed="false">
      <c r="C21" s="387"/>
      <c r="D21" s="387"/>
      <c r="E21" s="387"/>
      <c r="F21" s="37"/>
      <c r="G21" s="37"/>
      <c r="H21" s="37"/>
      <c r="I21" s="37"/>
      <c r="J21" s="37"/>
    </row>
    <row r="22" customFormat="false" ht="13.5" hidden="false" customHeight="true" outlineLevel="0" collapsed="false">
      <c r="B22" s="2" t="s">
        <v>222</v>
      </c>
      <c r="C22" s="387"/>
      <c r="D22" s="387"/>
      <c r="E22" s="387"/>
      <c r="F22" s="399" t="n">
        <f aca="false">F33</f>
        <v>-300</v>
      </c>
      <c r="G22" s="399" t="n">
        <f aca="false">G33</f>
        <v>-200</v>
      </c>
      <c r="H22" s="399" t="n">
        <f aca="false">H33</f>
        <v>-100</v>
      </c>
      <c r="I22" s="399" t="n">
        <f aca="false">I33</f>
        <v>-50</v>
      </c>
      <c r="J22" s="399" t="n">
        <f aca="false">J33</f>
        <v>-50</v>
      </c>
    </row>
    <row r="23" customFormat="false" ht="13.5" hidden="false" customHeight="true" outlineLevel="0" collapsed="false">
      <c r="B23" s="65" t="s">
        <v>223</v>
      </c>
      <c r="C23" s="397"/>
      <c r="D23" s="397"/>
      <c r="E23" s="397"/>
      <c r="F23" s="398" t="n">
        <f aca="false">SUM(F20:F22)</f>
        <v>-49.2343331567462</v>
      </c>
      <c r="G23" s="398" t="n">
        <f aca="false">SUM(G20:G22)</f>
        <v>12.0530275114022</v>
      </c>
      <c r="H23" s="398" t="n">
        <f aca="false">SUM(H20:H22)</f>
        <v>157.973795553405</v>
      </c>
      <c r="I23" s="398" t="n">
        <f aca="false">SUM(I20:I22)</f>
        <v>417.738331116985</v>
      </c>
      <c r="J23" s="398" t="n">
        <f aca="false">SUM(J20:J22)</f>
        <v>845.297816748601</v>
      </c>
    </row>
    <row r="24" customFormat="false" ht="13.5" hidden="false" customHeight="true" outlineLevel="0" collapsed="false">
      <c r="C24" s="37"/>
      <c r="D24" s="37"/>
      <c r="E24" s="37"/>
      <c r="F24" s="37"/>
      <c r="G24" s="37"/>
      <c r="H24" s="37"/>
      <c r="I24" s="37"/>
      <c r="J24" s="37"/>
    </row>
    <row r="25" customFormat="false" ht="13.5" hidden="false" customHeight="true" outlineLevel="0" collapsed="false">
      <c r="B25" s="19" t="s">
        <v>74</v>
      </c>
      <c r="C25" s="37"/>
      <c r="D25" s="37"/>
      <c r="E25" s="37"/>
      <c r="F25" s="37"/>
      <c r="G25" s="37"/>
      <c r="H25" s="37"/>
      <c r="I25" s="37"/>
      <c r="J25" s="37"/>
    </row>
    <row r="26" customFormat="false" ht="13.5" hidden="false" customHeight="true" outlineLevel="0" collapsed="false">
      <c r="B26" s="2" t="s">
        <v>224</v>
      </c>
      <c r="C26" s="37"/>
      <c r="D26" s="37"/>
      <c r="E26" s="37"/>
      <c r="F26" s="47" t="n">
        <f aca="false">E28</f>
        <v>101</v>
      </c>
      <c r="G26" s="47" t="n">
        <f aca="false">F28</f>
        <v>150.234333156746</v>
      </c>
      <c r="H26" s="47" t="n">
        <f aca="false">G28</f>
        <v>138.181305645344</v>
      </c>
      <c r="I26" s="47" t="n">
        <f aca="false">H28</f>
        <v>0</v>
      </c>
      <c r="J26" s="47" t="n">
        <f aca="false">I28</f>
        <v>0</v>
      </c>
    </row>
    <row r="27" customFormat="false" ht="13.5" hidden="false" customHeight="true" outlineLevel="0" collapsed="false">
      <c r="B27" s="2" t="s">
        <v>225</v>
      </c>
      <c r="C27" s="37"/>
      <c r="D27" s="37"/>
      <c r="E27" s="37"/>
      <c r="F27" s="47" t="n">
        <f aca="false">IF(F23&lt;0,-F23,-MIN(F26,F23))</f>
        <v>49.2343331567462</v>
      </c>
      <c r="G27" s="47" t="n">
        <f aca="false">IF(G23&lt;0,-G23,-MIN(G26,G23))</f>
        <v>-12.0530275114022</v>
      </c>
      <c r="H27" s="47" t="n">
        <f aca="false">IF(H23&lt;0,-H23,-MIN(H26,H23))</f>
        <v>-138.181305645344</v>
      </c>
      <c r="I27" s="47" t="n">
        <f aca="false">IF(I23&lt;0,-I23,-MIN(I26,I23))</f>
        <v>-0</v>
      </c>
      <c r="J27" s="47" t="n">
        <f aca="false">IF(J23&lt;0,-J23,-MIN(J26,J23))</f>
        <v>-0</v>
      </c>
    </row>
    <row r="28" customFormat="false" ht="13.5" hidden="false" customHeight="true" outlineLevel="0" collapsed="false">
      <c r="B28" s="395" t="s">
        <v>226</v>
      </c>
      <c r="C28" s="400" t="n">
        <f aca="false">'Balance Sheet'!C36</f>
        <v>250</v>
      </c>
      <c r="D28" s="400" t="n">
        <f aca="false">'Balance Sheet'!D36</f>
        <v>150</v>
      </c>
      <c r="E28" s="400" t="n">
        <f aca="false">'Balance Sheet'!E36</f>
        <v>101</v>
      </c>
      <c r="F28" s="401" t="n">
        <f aca="false">SUM(F26:F27)</f>
        <v>150.234333156746</v>
      </c>
      <c r="G28" s="401" t="n">
        <f aca="false">SUM(G26:G27)</f>
        <v>138.181305645344</v>
      </c>
      <c r="H28" s="401" t="n">
        <f aca="false">SUM(H26:H27)</f>
        <v>0</v>
      </c>
      <c r="I28" s="401" t="n">
        <f aca="false">SUM(I26:I27)</f>
        <v>0</v>
      </c>
      <c r="J28" s="401" t="n">
        <f aca="false">SUM(J26:J27)</f>
        <v>0</v>
      </c>
    </row>
    <row r="29" customFormat="false" ht="13.5" hidden="false" customHeight="true" outlineLevel="0" collapsed="false">
      <c r="C29" s="139"/>
      <c r="D29" s="139"/>
      <c r="E29" s="139"/>
      <c r="F29" s="139"/>
      <c r="G29" s="139"/>
      <c r="H29" s="139"/>
      <c r="I29" s="139"/>
      <c r="J29" s="139"/>
    </row>
    <row r="30" customFormat="false" ht="13.5" hidden="false" customHeight="true" outlineLevel="0" collapsed="false">
      <c r="B30" s="19" t="s">
        <v>75</v>
      </c>
      <c r="C30" s="313"/>
      <c r="D30" s="313"/>
      <c r="E30" s="313"/>
      <c r="F30" s="313"/>
      <c r="G30" s="313"/>
      <c r="H30" s="313"/>
      <c r="I30" s="313"/>
      <c r="J30" s="313"/>
    </row>
    <row r="31" customFormat="false" ht="13.5" hidden="false" customHeight="true" outlineLevel="0" collapsed="false">
      <c r="B31" s="2" t="s">
        <v>224</v>
      </c>
      <c r="C31" s="313"/>
      <c r="D31" s="313"/>
      <c r="E31" s="313"/>
      <c r="F31" s="311" t="n">
        <f aca="false">E34</f>
        <v>1635</v>
      </c>
      <c r="G31" s="311" t="n">
        <f aca="false">F34</f>
        <v>1335</v>
      </c>
      <c r="H31" s="311" t="n">
        <f aca="false">G34</f>
        <v>1135</v>
      </c>
      <c r="I31" s="311" t="n">
        <f aca="false">H34</f>
        <v>1035</v>
      </c>
      <c r="J31" s="311" t="n">
        <f aca="false">I34</f>
        <v>985</v>
      </c>
    </row>
    <row r="32" customFormat="false" ht="13.5" hidden="false" customHeight="true" outlineLevel="0" collapsed="false">
      <c r="B32" s="2" t="s">
        <v>227</v>
      </c>
      <c r="C32" s="313"/>
      <c r="D32" s="313"/>
      <c r="E32" s="313"/>
      <c r="F32" s="402" t="n">
        <v>0</v>
      </c>
      <c r="G32" s="403"/>
      <c r="H32" s="403"/>
      <c r="I32" s="403"/>
      <c r="J32" s="403"/>
    </row>
    <row r="33" customFormat="false" ht="13.5" hidden="false" customHeight="true" outlineLevel="0" collapsed="false">
      <c r="B33" s="2" t="s">
        <v>228</v>
      </c>
      <c r="C33" s="313"/>
      <c r="D33" s="313"/>
      <c r="E33" s="313"/>
      <c r="F33" s="250" t="n">
        <v>-300</v>
      </c>
      <c r="G33" s="250" t="n">
        <v>-200</v>
      </c>
      <c r="H33" s="250" t="n">
        <v>-100</v>
      </c>
      <c r="I33" s="250" t="n">
        <v>-50</v>
      </c>
      <c r="J33" s="250" t="n">
        <v>-50</v>
      </c>
    </row>
    <row r="34" customFormat="false" ht="13.5" hidden="false" customHeight="true" outlineLevel="0" collapsed="false">
      <c r="B34" s="2" t="s">
        <v>226</v>
      </c>
      <c r="C34" s="404" t="n">
        <f aca="false">'Balance Sheet'!C37</f>
        <v>2200</v>
      </c>
      <c r="D34" s="404" t="n">
        <f aca="false">'Balance Sheet'!D37</f>
        <v>1990</v>
      </c>
      <c r="E34" s="404" t="n">
        <f aca="false">'Balance Sheet'!E37</f>
        <v>1635</v>
      </c>
      <c r="F34" s="405" t="n">
        <f aca="false">SUM(F31:F33)</f>
        <v>1335</v>
      </c>
      <c r="G34" s="405" t="n">
        <f aca="false">SUM(G31:G33)</f>
        <v>1135</v>
      </c>
      <c r="H34" s="405" t="n">
        <f aca="false">SUM(H31:H33)</f>
        <v>1035</v>
      </c>
      <c r="I34" s="405" t="n">
        <f aca="false">SUM(I31:I33)</f>
        <v>985</v>
      </c>
      <c r="J34" s="405" t="n">
        <f aca="false">SUM(J31:J33)</f>
        <v>935</v>
      </c>
    </row>
    <row r="35" customFormat="false" ht="13.5" hidden="false" customHeight="true" outlineLevel="0" collapsed="false">
      <c r="C35" s="139"/>
      <c r="D35" s="139"/>
      <c r="E35" s="139"/>
      <c r="F35" s="139"/>
      <c r="G35" s="139"/>
      <c r="H35" s="139"/>
      <c r="I35" s="139"/>
      <c r="J35" s="139"/>
    </row>
    <row r="36" customFormat="false" ht="13.5" hidden="false" customHeight="true" outlineLevel="0" collapsed="false">
      <c r="B36" s="406" t="s">
        <v>229</v>
      </c>
      <c r="C36" s="139"/>
      <c r="D36" s="139"/>
      <c r="E36" s="139"/>
      <c r="F36" s="139"/>
      <c r="G36" s="139"/>
      <c r="H36" s="139"/>
      <c r="I36" s="139"/>
      <c r="J36" s="139"/>
    </row>
    <row r="37" customFormat="false" ht="13.5" hidden="false" customHeight="true" outlineLevel="0" collapsed="false">
      <c r="B37" s="65"/>
      <c r="C37" s="139"/>
      <c r="D37" s="139"/>
      <c r="E37" s="139"/>
      <c r="F37" s="139"/>
      <c r="G37" s="139"/>
      <c r="H37" s="139"/>
      <c r="I37" s="139"/>
      <c r="J37" s="139"/>
    </row>
    <row r="38" customFormat="false" ht="13.5" hidden="false" customHeight="true" outlineLevel="0" collapsed="false">
      <c r="B38" s="2" t="s">
        <v>230</v>
      </c>
      <c r="C38" s="37"/>
      <c r="D38" s="37"/>
      <c r="E38" s="37"/>
      <c r="F38" s="37"/>
      <c r="G38" s="37"/>
      <c r="H38" s="37"/>
      <c r="I38" s="37"/>
      <c r="J38" s="37"/>
    </row>
    <row r="39" customFormat="false" ht="13.5" hidden="false" customHeight="true" outlineLevel="0" collapsed="false">
      <c r="B39" s="2" t="s">
        <v>231</v>
      </c>
      <c r="C39" s="37"/>
      <c r="D39" s="37"/>
      <c r="E39" s="37"/>
      <c r="F39" s="47" t="n">
        <f aca="false">AVERAGE(E28:F28)</f>
        <v>125.617166578373</v>
      </c>
      <c r="G39" s="47" t="n">
        <f aca="false">AVERAGE(F28:G28)</f>
        <v>144.207819401045</v>
      </c>
      <c r="H39" s="47" t="n">
        <f aca="false">AVERAGE(G28:H28)</f>
        <v>69.090652822672</v>
      </c>
      <c r="I39" s="47" t="n">
        <f aca="false">AVERAGE(H28:I28)</f>
        <v>0</v>
      </c>
      <c r="J39" s="47" t="n">
        <f aca="false">AVERAGE(I28:J28)</f>
        <v>0</v>
      </c>
    </row>
    <row r="40" customFormat="false" ht="13.5" hidden="false" customHeight="true" outlineLevel="0" collapsed="false">
      <c r="B40" s="2" t="s">
        <v>232</v>
      </c>
      <c r="C40" s="373"/>
      <c r="D40" s="373"/>
      <c r="E40" s="373"/>
      <c r="F40" s="407" t="n">
        <v>0.05</v>
      </c>
      <c r="G40" s="407" t="n">
        <v>0.05</v>
      </c>
      <c r="H40" s="407" t="n">
        <v>0.05</v>
      </c>
      <c r="I40" s="407" t="n">
        <v>0.05</v>
      </c>
      <c r="J40" s="407" t="n">
        <v>0.05</v>
      </c>
    </row>
    <row r="41" customFormat="false" ht="13.5" hidden="false" customHeight="true" outlineLevel="0" collapsed="false">
      <c r="B41" s="2" t="s">
        <v>30</v>
      </c>
      <c r="C41" s="37"/>
      <c r="D41" s="37"/>
      <c r="E41" s="37"/>
      <c r="F41" s="47" t="n">
        <f aca="false">F39*F40</f>
        <v>6.28085851582641</v>
      </c>
      <c r="G41" s="47" t="n">
        <f aca="false">G39*G40</f>
        <v>7.21039147991603</v>
      </c>
      <c r="H41" s="47" t="n">
        <f aca="false">H39*H40</f>
        <v>3.4545326411336</v>
      </c>
      <c r="I41" s="47" t="n">
        <f aca="false">I39*I40</f>
        <v>0</v>
      </c>
      <c r="J41" s="47" t="n">
        <f aca="false">J39*J40</f>
        <v>0</v>
      </c>
    </row>
    <row r="42" customFormat="false" ht="13.5" hidden="false" customHeight="true" outlineLevel="0" collapsed="false">
      <c r="C42" s="37"/>
      <c r="D42" s="37"/>
      <c r="E42" s="37"/>
      <c r="F42" s="37"/>
      <c r="G42" s="37"/>
      <c r="H42" s="37"/>
      <c r="I42" s="37"/>
      <c r="J42" s="37"/>
    </row>
    <row r="43" customFormat="false" ht="13.5" hidden="false" customHeight="true" outlineLevel="0" collapsed="false">
      <c r="B43" s="2" t="s">
        <v>233</v>
      </c>
      <c r="C43" s="37"/>
      <c r="D43" s="37"/>
      <c r="E43" s="37"/>
      <c r="F43" s="37"/>
      <c r="G43" s="37"/>
      <c r="H43" s="37"/>
      <c r="I43" s="37"/>
      <c r="J43" s="37"/>
    </row>
    <row r="44" customFormat="false" ht="13.5" hidden="false" customHeight="true" outlineLevel="0" collapsed="false">
      <c r="B44" s="2" t="s">
        <v>234</v>
      </c>
      <c r="C44" s="37"/>
      <c r="D44" s="37"/>
      <c r="E44" s="37"/>
      <c r="F44" s="47" t="n">
        <f aca="false">AVERAGE(E34:F34)</f>
        <v>1485</v>
      </c>
      <c r="G44" s="47" t="n">
        <f aca="false">AVERAGE(F34:G34)</f>
        <v>1235</v>
      </c>
      <c r="H44" s="47" t="n">
        <f aca="false">AVERAGE(G34:H34)</f>
        <v>1085</v>
      </c>
      <c r="I44" s="47" t="n">
        <f aca="false">AVERAGE(H34:I34)</f>
        <v>1010</v>
      </c>
      <c r="J44" s="47" t="n">
        <f aca="false">AVERAGE(I34:J34)</f>
        <v>960</v>
      </c>
    </row>
    <row r="45" customFormat="false" ht="13.5" hidden="false" customHeight="true" outlineLevel="0" collapsed="false">
      <c r="B45" s="2" t="s">
        <v>232</v>
      </c>
      <c r="C45" s="373"/>
      <c r="D45" s="373"/>
      <c r="E45" s="373"/>
      <c r="F45" s="407" t="n">
        <v>0.045</v>
      </c>
      <c r="G45" s="407" t="n">
        <v>0.045</v>
      </c>
      <c r="H45" s="407" t="n">
        <v>0.045</v>
      </c>
      <c r="I45" s="407" t="n">
        <v>0.045</v>
      </c>
      <c r="J45" s="407" t="n">
        <v>0.045</v>
      </c>
    </row>
    <row r="46" customFormat="false" ht="13.5" hidden="false" customHeight="true" outlineLevel="0" collapsed="false">
      <c r="B46" s="2" t="s">
        <v>30</v>
      </c>
      <c r="C46" s="37"/>
      <c r="D46" s="37"/>
      <c r="E46" s="37"/>
      <c r="F46" s="47" t="n">
        <f aca="false">F44*F45</f>
        <v>66.825</v>
      </c>
      <c r="G46" s="47" t="n">
        <f aca="false">G44*G45</f>
        <v>55.575</v>
      </c>
      <c r="H46" s="47" t="n">
        <f aca="false">H44*H45</f>
        <v>48.825</v>
      </c>
      <c r="I46" s="47" t="n">
        <f aca="false">I44*I45</f>
        <v>45.45</v>
      </c>
      <c r="J46" s="47" t="n">
        <f aca="false">J44*J45</f>
        <v>43.2</v>
      </c>
    </row>
    <row r="47" customFormat="false" ht="13.5" hidden="false" customHeight="true" outlineLevel="0" collapsed="false">
      <c r="C47" s="37"/>
      <c r="D47" s="37"/>
      <c r="E47" s="37"/>
      <c r="F47" s="37"/>
      <c r="G47" s="37"/>
      <c r="H47" s="37"/>
      <c r="I47" s="37"/>
      <c r="J47" s="37"/>
    </row>
    <row r="48" customFormat="false" ht="13.5" hidden="false" customHeight="true" outlineLevel="0" collapsed="false">
      <c r="B48" s="408" t="s">
        <v>235</v>
      </c>
      <c r="C48" s="409"/>
      <c r="D48" s="409"/>
      <c r="E48" s="409"/>
      <c r="F48" s="410" t="n">
        <f aca="false">F46+F41</f>
        <v>73.1058585158264</v>
      </c>
      <c r="G48" s="410" t="n">
        <f aca="false">G46+G41</f>
        <v>62.785391479916</v>
      </c>
      <c r="H48" s="410" t="n">
        <f aca="false">H46+H41</f>
        <v>52.2795326411336</v>
      </c>
      <c r="I48" s="410" t="n">
        <f aca="false">I46+I41</f>
        <v>45.45</v>
      </c>
      <c r="J48" s="410" t="n">
        <f aca="false">J46+J41</f>
        <v>43.2</v>
      </c>
    </row>
    <row r="49" customFormat="false" ht="13.5" hidden="false" customHeight="true" outlineLevel="0" collapsed="false">
      <c r="C49" s="37"/>
      <c r="D49" s="37"/>
      <c r="E49" s="37"/>
      <c r="F49" s="37"/>
      <c r="G49" s="37"/>
      <c r="H49" s="37"/>
      <c r="I49" s="37"/>
      <c r="J49" s="37"/>
    </row>
    <row r="50" customFormat="false" ht="13.5" hidden="false" customHeight="true" outlineLevel="0" collapsed="false">
      <c r="B50" s="406" t="s">
        <v>236</v>
      </c>
    </row>
    <row r="51" customFormat="false" ht="13.5" hidden="false" customHeight="true" outlineLevel="0" collapsed="false">
      <c r="B51" s="65"/>
    </row>
    <row r="52" customFormat="false" ht="13.5" hidden="false" customHeight="true" outlineLevel="0" collapsed="false">
      <c r="B52" s="99" t="s">
        <v>237</v>
      </c>
      <c r="C52" s="37"/>
      <c r="D52" s="43" t="n">
        <f aca="false">AVERAGE('Balance Sheet'!C7:D7)</f>
        <v>56.5541711488086</v>
      </c>
      <c r="E52" s="43" t="n">
        <f aca="false">AVERAGE('Balance Sheet'!D7:E7)</f>
        <v>67.1608047216105</v>
      </c>
      <c r="F52" s="44" t="n">
        <f aca="false">AVERAGE('Balance Sheet'!E7:F7)</f>
        <v>39.356633572802</v>
      </c>
      <c r="G52" s="44" t="n">
        <f aca="false">AVERAGE('Balance Sheet'!F7:G7)</f>
        <v>14.3395299385605</v>
      </c>
      <c r="H52" s="44" t="n">
        <f aca="false">AVERAGE('Balance Sheet'!G7:H7)</f>
        <v>59.1050183621572</v>
      </c>
      <c r="I52" s="44" t="n">
        <f aca="false">AVERAGE('Balance Sheet'!H7:I7)</f>
        <v>281.695111527148</v>
      </c>
      <c r="J52" s="44" t="n">
        <f aca="false">AVERAGE('Balance Sheet'!I7:J7)</f>
        <v>656.692421830481</v>
      </c>
    </row>
    <row r="53" customFormat="false" ht="13.5" hidden="false" customHeight="true" outlineLevel="0" collapsed="false">
      <c r="B53" s="99" t="s">
        <v>238</v>
      </c>
      <c r="C53" s="37"/>
      <c r="D53" s="43" t="n">
        <f aca="false">AVERAGE('Balance Sheet'!C8:D8)</f>
        <v>45</v>
      </c>
      <c r="E53" s="43" t="n">
        <f aca="false">AVERAGE('Balance Sheet'!D8:E8)</f>
        <v>55</v>
      </c>
      <c r="F53" s="44" t="n">
        <f aca="false">AVERAGE('Balance Sheet'!E8:F8)</f>
        <v>65</v>
      </c>
      <c r="G53" s="44" t="n">
        <f aca="false">AVERAGE('Balance Sheet'!F8:G8)</f>
        <v>75</v>
      </c>
      <c r="H53" s="44" t="n">
        <f aca="false">AVERAGE('Balance Sheet'!G8:H8)</f>
        <v>85</v>
      </c>
      <c r="I53" s="44" t="n">
        <f aca="false">AVERAGE('Balance Sheet'!H8:I8)</f>
        <v>95</v>
      </c>
      <c r="J53" s="44" t="n">
        <f aca="false">AVERAGE('Balance Sheet'!I8:J8)</f>
        <v>105</v>
      </c>
    </row>
    <row r="54" customFormat="false" ht="13.5" hidden="false" customHeight="true" outlineLevel="0" collapsed="false">
      <c r="B54" s="99" t="s">
        <v>239</v>
      </c>
      <c r="C54" s="37"/>
      <c r="D54" s="43" t="n">
        <f aca="false">AVERAGE('Balance Sheet'!C14:D14)</f>
        <v>170</v>
      </c>
      <c r="E54" s="43" t="n">
        <f aca="false">AVERAGE('Balance Sheet'!D14:E14)</f>
        <v>190</v>
      </c>
      <c r="F54" s="44" t="n">
        <f aca="false">AVERAGE('Balance Sheet'!E14:F14)</f>
        <v>210</v>
      </c>
      <c r="G54" s="44" t="n">
        <f aca="false">AVERAGE('Balance Sheet'!F14:G14)</f>
        <v>230</v>
      </c>
      <c r="H54" s="44" t="n">
        <f aca="false">AVERAGE('Balance Sheet'!G14:H14)</f>
        <v>250</v>
      </c>
      <c r="I54" s="44" t="n">
        <f aca="false">AVERAGE('Balance Sheet'!H14:I14)</f>
        <v>270</v>
      </c>
      <c r="J54" s="44" t="n">
        <f aca="false">AVERAGE('Balance Sheet'!I14:J14)</f>
        <v>290</v>
      </c>
    </row>
    <row r="55" customFormat="false" ht="13.5" hidden="false" customHeight="true" outlineLevel="0" collapsed="false">
      <c r="B55" s="65" t="s">
        <v>148</v>
      </c>
      <c r="D55" s="411" t="n">
        <f aca="false">SUM(D52:D54)</f>
        <v>271.554171148809</v>
      </c>
      <c r="E55" s="411" t="n">
        <f aca="false">SUM(E52:E54)</f>
        <v>312.160804721611</v>
      </c>
      <c r="F55" s="412" t="n">
        <f aca="false">SUM(F52:F54)</f>
        <v>314.356633572802</v>
      </c>
      <c r="G55" s="412" t="n">
        <f aca="false">SUM(G52:G54)</f>
        <v>319.339529938561</v>
      </c>
      <c r="H55" s="412" t="n">
        <f aca="false">SUM(H52:H54)</f>
        <v>394.105018362157</v>
      </c>
      <c r="I55" s="412" t="n">
        <f aca="false">SUM(I52:I54)</f>
        <v>646.695111527148</v>
      </c>
      <c r="J55" s="412" t="n">
        <f aca="false">SUM(J52:J54)</f>
        <v>1051.69242183048</v>
      </c>
    </row>
    <row r="56" customFormat="false" ht="13.5" hidden="false" customHeight="true" outlineLevel="0" collapsed="false">
      <c r="B56" s="65"/>
    </row>
    <row r="57" customFormat="false" ht="13.5" hidden="false" customHeight="true" outlineLevel="0" collapsed="false">
      <c r="B57" s="65" t="s">
        <v>32</v>
      </c>
      <c r="D57" s="413" t="n">
        <f aca="false">'Income Statement'!D17</f>
        <v>9.400783150617</v>
      </c>
      <c r="E57" s="413" t="n">
        <f aca="false">'Income Statement'!E17</f>
        <v>10.9396017051878</v>
      </c>
      <c r="F57" s="88" t="n">
        <f aca="false">F55*F59</f>
        <v>11.0024821750481</v>
      </c>
      <c r="G57" s="88" t="n">
        <f aca="false">G55*G59</f>
        <v>11.1768835478496</v>
      </c>
      <c r="H57" s="88" t="n">
        <f aca="false">H55*H59</f>
        <v>13.7936756426755</v>
      </c>
      <c r="I57" s="88" t="n">
        <f aca="false">I55*I59</f>
        <v>22.6343289034502</v>
      </c>
      <c r="J57" s="88" t="n">
        <f aca="false">J55*J59</f>
        <v>36.8092347640668</v>
      </c>
    </row>
    <row r="58" customFormat="false" ht="13.5" hidden="false" customHeight="true" outlineLevel="0" collapsed="false">
      <c r="B58" s="65"/>
      <c r="E58" s="124"/>
      <c r="F58" s="124"/>
    </row>
    <row r="59" customFormat="false" ht="13.5" hidden="false" customHeight="true" outlineLevel="0" collapsed="false">
      <c r="B59" s="65" t="s">
        <v>240</v>
      </c>
      <c r="D59" s="414" t="n">
        <f aca="false">D57/D55</f>
        <v>0.034618445044858</v>
      </c>
      <c r="E59" s="414" t="n">
        <f aca="false">E57/E55</f>
        <v>0.0350447639156488</v>
      </c>
      <c r="F59" s="158" t="n">
        <v>0.035</v>
      </c>
      <c r="G59" s="158" t="n">
        <v>0.035</v>
      </c>
      <c r="H59" s="158" t="n">
        <v>0.035</v>
      </c>
      <c r="I59" s="158" t="n">
        <v>0.035</v>
      </c>
      <c r="J59" s="158" t="n">
        <v>0.035</v>
      </c>
    </row>
    <row r="60" customFormat="false" ht="13.5" hidden="false" customHeight="true" outlineLevel="0" collapsed="false">
      <c r="B60" s="65"/>
    </row>
    <row r="61" customFormat="false" ht="13.5" hidden="false" customHeight="true" outlineLevel="0" collapsed="false">
      <c r="B61" s="65"/>
    </row>
    <row r="62" customFormat="false" ht="13.5" hidden="false" customHeight="true" outlineLevel="0" collapsed="false">
      <c r="C62" s="139"/>
      <c r="D62" s="139"/>
      <c r="E62" s="139"/>
      <c r="F62" s="139"/>
      <c r="G62" s="139"/>
      <c r="H62" s="139"/>
      <c r="I62" s="139"/>
      <c r="J62" s="139"/>
    </row>
    <row r="63" customFormat="false" ht="13.5" hidden="false" customHeight="true" outlineLevel="0" collapsed="false">
      <c r="C63" s="139"/>
      <c r="D63" s="139"/>
      <c r="E63" s="139"/>
      <c r="F63" s="139"/>
      <c r="G63" s="139"/>
      <c r="H63" s="139"/>
      <c r="I63" s="139"/>
      <c r="J63" s="139"/>
    </row>
  </sheetData>
  <mergeCells count="2">
    <mergeCell ref="C3:E3"/>
    <mergeCell ref="F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74B5C"/>
    <pageSetUpPr fitToPage="false"/>
  </sheetPr>
  <dimension ref="A1:K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F7" activeCellId="0" sqref="F7"/>
    </sheetView>
  </sheetViews>
  <sheetFormatPr defaultColWidth="9.109375" defaultRowHeight="13.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2" width="34"/>
    <col collapsed="false" customWidth="true" hidden="false" outlineLevel="0" max="6" min="3" style="2" width="13"/>
    <col collapsed="false" customWidth="true" hidden="false" outlineLevel="0" max="9" min="7" style="2" width="12"/>
    <col collapsed="false" customWidth="true" hidden="false" outlineLevel="0" max="10" min="10" style="2" width="13.11"/>
    <col collapsed="false" customWidth="false" hidden="false" outlineLevel="0" max="254" min="11" style="2" width="9.11"/>
    <col collapsed="false" customWidth="true" hidden="false" outlineLevel="0" max="255" min="255" style="2" width="2.44"/>
    <col collapsed="false" customWidth="true" hidden="false" outlineLevel="0" max="256" min="256" style="2" width="37.56"/>
    <col collapsed="false" customWidth="true" hidden="false" outlineLevel="0" max="257" min="257" style="2" width="12.56"/>
    <col collapsed="false" customWidth="true" hidden="false" outlineLevel="0" max="266" min="258" style="2" width="13.44"/>
    <col collapsed="false" customWidth="false" hidden="false" outlineLevel="0" max="510" min="267" style="2" width="9.11"/>
    <col collapsed="false" customWidth="true" hidden="false" outlineLevel="0" max="511" min="511" style="2" width="2.44"/>
    <col collapsed="false" customWidth="true" hidden="false" outlineLevel="0" max="512" min="512" style="2" width="37.56"/>
    <col collapsed="false" customWidth="true" hidden="false" outlineLevel="0" max="513" min="513" style="2" width="12.56"/>
    <col collapsed="false" customWidth="true" hidden="false" outlineLevel="0" max="522" min="514" style="2" width="13.44"/>
    <col collapsed="false" customWidth="false" hidden="false" outlineLevel="0" max="766" min="523" style="2" width="9.11"/>
    <col collapsed="false" customWidth="true" hidden="false" outlineLevel="0" max="767" min="767" style="2" width="2.44"/>
    <col collapsed="false" customWidth="true" hidden="false" outlineLevel="0" max="768" min="768" style="2" width="37.56"/>
    <col collapsed="false" customWidth="true" hidden="false" outlineLevel="0" max="769" min="769" style="2" width="12.56"/>
    <col collapsed="false" customWidth="true" hidden="false" outlineLevel="0" max="778" min="770" style="2" width="13.44"/>
    <col collapsed="false" customWidth="false" hidden="false" outlineLevel="0" max="1022" min="779" style="2" width="9.11"/>
    <col collapsed="false" customWidth="true" hidden="false" outlineLevel="0" max="1023" min="1023" style="2" width="2.44"/>
    <col collapsed="false" customWidth="true" hidden="false" outlineLevel="0" max="1024" min="1024" style="2" width="37.56"/>
    <col collapsed="false" customWidth="true" hidden="false" outlineLevel="0" max="1025" min="1025" style="2" width="12.56"/>
    <col collapsed="false" customWidth="true" hidden="false" outlineLevel="0" max="1034" min="1026" style="2" width="13.44"/>
    <col collapsed="false" customWidth="false" hidden="false" outlineLevel="0" max="1278" min="1035" style="2" width="9.11"/>
    <col collapsed="false" customWidth="true" hidden="false" outlineLevel="0" max="1279" min="1279" style="2" width="2.44"/>
    <col collapsed="false" customWidth="true" hidden="false" outlineLevel="0" max="1280" min="1280" style="2" width="37.56"/>
    <col collapsed="false" customWidth="true" hidden="false" outlineLevel="0" max="1281" min="1281" style="2" width="12.56"/>
    <col collapsed="false" customWidth="true" hidden="false" outlineLevel="0" max="1290" min="1282" style="2" width="13.44"/>
    <col collapsed="false" customWidth="false" hidden="false" outlineLevel="0" max="1534" min="1291" style="2" width="9.11"/>
    <col collapsed="false" customWidth="true" hidden="false" outlineLevel="0" max="1535" min="1535" style="2" width="2.44"/>
    <col collapsed="false" customWidth="true" hidden="false" outlineLevel="0" max="1536" min="1536" style="2" width="37.56"/>
    <col collapsed="false" customWidth="true" hidden="false" outlineLevel="0" max="1537" min="1537" style="2" width="12.56"/>
    <col collapsed="false" customWidth="true" hidden="false" outlineLevel="0" max="1546" min="1538" style="2" width="13.44"/>
    <col collapsed="false" customWidth="false" hidden="false" outlineLevel="0" max="1790" min="1547" style="2" width="9.11"/>
    <col collapsed="false" customWidth="true" hidden="false" outlineLevel="0" max="1791" min="1791" style="2" width="2.44"/>
    <col collapsed="false" customWidth="true" hidden="false" outlineLevel="0" max="1792" min="1792" style="2" width="37.56"/>
    <col collapsed="false" customWidth="true" hidden="false" outlineLevel="0" max="1793" min="1793" style="2" width="12.56"/>
    <col collapsed="false" customWidth="true" hidden="false" outlineLevel="0" max="1802" min="1794" style="2" width="13.44"/>
    <col collapsed="false" customWidth="false" hidden="false" outlineLevel="0" max="2046" min="1803" style="2" width="9.11"/>
    <col collapsed="false" customWidth="true" hidden="false" outlineLevel="0" max="2047" min="2047" style="2" width="2.44"/>
    <col collapsed="false" customWidth="true" hidden="false" outlineLevel="0" max="2048" min="2048" style="2" width="37.56"/>
    <col collapsed="false" customWidth="true" hidden="false" outlineLevel="0" max="2049" min="2049" style="2" width="12.56"/>
    <col collapsed="false" customWidth="true" hidden="false" outlineLevel="0" max="2058" min="2050" style="2" width="13.44"/>
    <col collapsed="false" customWidth="false" hidden="false" outlineLevel="0" max="2302" min="2059" style="2" width="9.11"/>
    <col collapsed="false" customWidth="true" hidden="false" outlineLevel="0" max="2303" min="2303" style="2" width="2.44"/>
    <col collapsed="false" customWidth="true" hidden="false" outlineLevel="0" max="2304" min="2304" style="2" width="37.56"/>
    <col collapsed="false" customWidth="true" hidden="false" outlineLevel="0" max="2305" min="2305" style="2" width="12.56"/>
    <col collapsed="false" customWidth="true" hidden="false" outlineLevel="0" max="2314" min="2306" style="2" width="13.44"/>
    <col collapsed="false" customWidth="false" hidden="false" outlineLevel="0" max="2558" min="2315" style="2" width="9.11"/>
    <col collapsed="false" customWidth="true" hidden="false" outlineLevel="0" max="2559" min="2559" style="2" width="2.44"/>
    <col collapsed="false" customWidth="true" hidden="false" outlineLevel="0" max="2560" min="2560" style="2" width="37.56"/>
    <col collapsed="false" customWidth="true" hidden="false" outlineLevel="0" max="2561" min="2561" style="2" width="12.56"/>
    <col collapsed="false" customWidth="true" hidden="false" outlineLevel="0" max="2570" min="2562" style="2" width="13.44"/>
    <col collapsed="false" customWidth="false" hidden="false" outlineLevel="0" max="2814" min="2571" style="2" width="9.11"/>
    <col collapsed="false" customWidth="true" hidden="false" outlineLevel="0" max="2815" min="2815" style="2" width="2.44"/>
    <col collapsed="false" customWidth="true" hidden="false" outlineLevel="0" max="2816" min="2816" style="2" width="37.56"/>
    <col collapsed="false" customWidth="true" hidden="false" outlineLevel="0" max="2817" min="2817" style="2" width="12.56"/>
    <col collapsed="false" customWidth="true" hidden="false" outlineLevel="0" max="2826" min="2818" style="2" width="13.44"/>
    <col collapsed="false" customWidth="false" hidden="false" outlineLevel="0" max="3070" min="2827" style="2" width="9.11"/>
    <col collapsed="false" customWidth="true" hidden="false" outlineLevel="0" max="3071" min="3071" style="2" width="2.44"/>
    <col collapsed="false" customWidth="true" hidden="false" outlineLevel="0" max="3072" min="3072" style="2" width="37.56"/>
    <col collapsed="false" customWidth="true" hidden="false" outlineLevel="0" max="3073" min="3073" style="2" width="12.56"/>
    <col collapsed="false" customWidth="true" hidden="false" outlineLevel="0" max="3082" min="3074" style="2" width="13.44"/>
    <col collapsed="false" customWidth="false" hidden="false" outlineLevel="0" max="3326" min="3083" style="2" width="9.11"/>
    <col collapsed="false" customWidth="true" hidden="false" outlineLevel="0" max="3327" min="3327" style="2" width="2.44"/>
    <col collapsed="false" customWidth="true" hidden="false" outlineLevel="0" max="3328" min="3328" style="2" width="37.56"/>
    <col collapsed="false" customWidth="true" hidden="false" outlineLevel="0" max="3329" min="3329" style="2" width="12.56"/>
    <col collapsed="false" customWidth="true" hidden="false" outlineLevel="0" max="3338" min="3330" style="2" width="13.44"/>
    <col collapsed="false" customWidth="false" hidden="false" outlineLevel="0" max="3582" min="3339" style="2" width="9.11"/>
    <col collapsed="false" customWidth="true" hidden="false" outlineLevel="0" max="3583" min="3583" style="2" width="2.44"/>
    <col collapsed="false" customWidth="true" hidden="false" outlineLevel="0" max="3584" min="3584" style="2" width="37.56"/>
    <col collapsed="false" customWidth="true" hidden="false" outlineLevel="0" max="3585" min="3585" style="2" width="12.56"/>
    <col collapsed="false" customWidth="true" hidden="false" outlineLevel="0" max="3594" min="3586" style="2" width="13.44"/>
    <col collapsed="false" customWidth="false" hidden="false" outlineLevel="0" max="3838" min="3595" style="2" width="9.11"/>
    <col collapsed="false" customWidth="true" hidden="false" outlineLevel="0" max="3839" min="3839" style="2" width="2.44"/>
    <col collapsed="false" customWidth="true" hidden="false" outlineLevel="0" max="3840" min="3840" style="2" width="37.56"/>
    <col collapsed="false" customWidth="true" hidden="false" outlineLevel="0" max="3841" min="3841" style="2" width="12.56"/>
    <col collapsed="false" customWidth="true" hidden="false" outlineLevel="0" max="3850" min="3842" style="2" width="13.44"/>
    <col collapsed="false" customWidth="false" hidden="false" outlineLevel="0" max="4094" min="3851" style="2" width="9.11"/>
    <col collapsed="false" customWidth="true" hidden="false" outlineLevel="0" max="4095" min="4095" style="2" width="2.44"/>
    <col collapsed="false" customWidth="true" hidden="false" outlineLevel="0" max="4096" min="4096" style="2" width="37.56"/>
    <col collapsed="false" customWidth="true" hidden="false" outlineLevel="0" max="4097" min="4097" style="2" width="12.56"/>
    <col collapsed="false" customWidth="true" hidden="false" outlineLevel="0" max="4106" min="4098" style="2" width="13.44"/>
    <col collapsed="false" customWidth="false" hidden="false" outlineLevel="0" max="4350" min="4107" style="2" width="9.11"/>
    <col collapsed="false" customWidth="true" hidden="false" outlineLevel="0" max="4351" min="4351" style="2" width="2.44"/>
    <col collapsed="false" customWidth="true" hidden="false" outlineLevel="0" max="4352" min="4352" style="2" width="37.56"/>
    <col collapsed="false" customWidth="true" hidden="false" outlineLevel="0" max="4353" min="4353" style="2" width="12.56"/>
    <col collapsed="false" customWidth="true" hidden="false" outlineLevel="0" max="4362" min="4354" style="2" width="13.44"/>
    <col collapsed="false" customWidth="false" hidden="false" outlineLevel="0" max="4606" min="4363" style="2" width="9.11"/>
    <col collapsed="false" customWidth="true" hidden="false" outlineLevel="0" max="4607" min="4607" style="2" width="2.44"/>
    <col collapsed="false" customWidth="true" hidden="false" outlineLevel="0" max="4608" min="4608" style="2" width="37.56"/>
    <col collapsed="false" customWidth="true" hidden="false" outlineLevel="0" max="4609" min="4609" style="2" width="12.56"/>
    <col collapsed="false" customWidth="true" hidden="false" outlineLevel="0" max="4618" min="4610" style="2" width="13.44"/>
    <col collapsed="false" customWidth="false" hidden="false" outlineLevel="0" max="4862" min="4619" style="2" width="9.11"/>
    <col collapsed="false" customWidth="true" hidden="false" outlineLevel="0" max="4863" min="4863" style="2" width="2.44"/>
    <col collapsed="false" customWidth="true" hidden="false" outlineLevel="0" max="4864" min="4864" style="2" width="37.56"/>
    <col collapsed="false" customWidth="true" hidden="false" outlineLevel="0" max="4865" min="4865" style="2" width="12.56"/>
    <col collapsed="false" customWidth="true" hidden="false" outlineLevel="0" max="4874" min="4866" style="2" width="13.44"/>
    <col collapsed="false" customWidth="false" hidden="false" outlineLevel="0" max="5118" min="4875" style="2" width="9.11"/>
    <col collapsed="false" customWidth="true" hidden="false" outlineLevel="0" max="5119" min="5119" style="2" width="2.44"/>
    <col collapsed="false" customWidth="true" hidden="false" outlineLevel="0" max="5120" min="5120" style="2" width="37.56"/>
    <col collapsed="false" customWidth="true" hidden="false" outlineLevel="0" max="5121" min="5121" style="2" width="12.56"/>
    <col collapsed="false" customWidth="true" hidden="false" outlineLevel="0" max="5130" min="5122" style="2" width="13.44"/>
    <col collapsed="false" customWidth="false" hidden="false" outlineLevel="0" max="5374" min="5131" style="2" width="9.11"/>
    <col collapsed="false" customWidth="true" hidden="false" outlineLevel="0" max="5375" min="5375" style="2" width="2.44"/>
    <col collapsed="false" customWidth="true" hidden="false" outlineLevel="0" max="5376" min="5376" style="2" width="37.56"/>
    <col collapsed="false" customWidth="true" hidden="false" outlineLevel="0" max="5377" min="5377" style="2" width="12.56"/>
    <col collapsed="false" customWidth="true" hidden="false" outlineLevel="0" max="5386" min="5378" style="2" width="13.44"/>
    <col collapsed="false" customWidth="false" hidden="false" outlineLevel="0" max="5630" min="5387" style="2" width="9.11"/>
    <col collapsed="false" customWidth="true" hidden="false" outlineLevel="0" max="5631" min="5631" style="2" width="2.44"/>
    <col collapsed="false" customWidth="true" hidden="false" outlineLevel="0" max="5632" min="5632" style="2" width="37.56"/>
    <col collapsed="false" customWidth="true" hidden="false" outlineLevel="0" max="5633" min="5633" style="2" width="12.56"/>
    <col collapsed="false" customWidth="true" hidden="false" outlineLevel="0" max="5642" min="5634" style="2" width="13.44"/>
    <col collapsed="false" customWidth="false" hidden="false" outlineLevel="0" max="5886" min="5643" style="2" width="9.11"/>
    <col collapsed="false" customWidth="true" hidden="false" outlineLevel="0" max="5887" min="5887" style="2" width="2.44"/>
    <col collapsed="false" customWidth="true" hidden="false" outlineLevel="0" max="5888" min="5888" style="2" width="37.56"/>
    <col collapsed="false" customWidth="true" hidden="false" outlineLevel="0" max="5889" min="5889" style="2" width="12.56"/>
    <col collapsed="false" customWidth="true" hidden="false" outlineLevel="0" max="5898" min="5890" style="2" width="13.44"/>
    <col collapsed="false" customWidth="false" hidden="false" outlineLevel="0" max="6142" min="5899" style="2" width="9.11"/>
    <col collapsed="false" customWidth="true" hidden="false" outlineLevel="0" max="6143" min="6143" style="2" width="2.44"/>
    <col collapsed="false" customWidth="true" hidden="false" outlineLevel="0" max="6144" min="6144" style="2" width="37.56"/>
    <col collapsed="false" customWidth="true" hidden="false" outlineLevel="0" max="6145" min="6145" style="2" width="12.56"/>
    <col collapsed="false" customWidth="true" hidden="false" outlineLevel="0" max="6154" min="6146" style="2" width="13.44"/>
    <col collapsed="false" customWidth="false" hidden="false" outlineLevel="0" max="6398" min="6155" style="2" width="9.11"/>
    <col collapsed="false" customWidth="true" hidden="false" outlineLevel="0" max="6399" min="6399" style="2" width="2.44"/>
    <col collapsed="false" customWidth="true" hidden="false" outlineLevel="0" max="6400" min="6400" style="2" width="37.56"/>
    <col collapsed="false" customWidth="true" hidden="false" outlineLevel="0" max="6401" min="6401" style="2" width="12.56"/>
    <col collapsed="false" customWidth="true" hidden="false" outlineLevel="0" max="6410" min="6402" style="2" width="13.44"/>
    <col collapsed="false" customWidth="false" hidden="false" outlineLevel="0" max="6654" min="6411" style="2" width="9.11"/>
    <col collapsed="false" customWidth="true" hidden="false" outlineLevel="0" max="6655" min="6655" style="2" width="2.44"/>
    <col collapsed="false" customWidth="true" hidden="false" outlineLevel="0" max="6656" min="6656" style="2" width="37.56"/>
    <col collapsed="false" customWidth="true" hidden="false" outlineLevel="0" max="6657" min="6657" style="2" width="12.56"/>
    <col collapsed="false" customWidth="true" hidden="false" outlineLevel="0" max="6666" min="6658" style="2" width="13.44"/>
    <col collapsed="false" customWidth="false" hidden="false" outlineLevel="0" max="6910" min="6667" style="2" width="9.11"/>
    <col collapsed="false" customWidth="true" hidden="false" outlineLevel="0" max="6911" min="6911" style="2" width="2.44"/>
    <col collapsed="false" customWidth="true" hidden="false" outlineLevel="0" max="6912" min="6912" style="2" width="37.56"/>
    <col collapsed="false" customWidth="true" hidden="false" outlineLevel="0" max="6913" min="6913" style="2" width="12.56"/>
    <col collapsed="false" customWidth="true" hidden="false" outlineLevel="0" max="6922" min="6914" style="2" width="13.44"/>
    <col collapsed="false" customWidth="false" hidden="false" outlineLevel="0" max="7166" min="6923" style="2" width="9.11"/>
    <col collapsed="false" customWidth="true" hidden="false" outlineLevel="0" max="7167" min="7167" style="2" width="2.44"/>
    <col collapsed="false" customWidth="true" hidden="false" outlineLevel="0" max="7168" min="7168" style="2" width="37.56"/>
    <col collapsed="false" customWidth="true" hidden="false" outlineLevel="0" max="7169" min="7169" style="2" width="12.56"/>
    <col collapsed="false" customWidth="true" hidden="false" outlineLevel="0" max="7178" min="7170" style="2" width="13.44"/>
    <col collapsed="false" customWidth="false" hidden="false" outlineLevel="0" max="7422" min="7179" style="2" width="9.11"/>
    <col collapsed="false" customWidth="true" hidden="false" outlineLevel="0" max="7423" min="7423" style="2" width="2.44"/>
    <col collapsed="false" customWidth="true" hidden="false" outlineLevel="0" max="7424" min="7424" style="2" width="37.56"/>
    <col collapsed="false" customWidth="true" hidden="false" outlineLevel="0" max="7425" min="7425" style="2" width="12.56"/>
    <col collapsed="false" customWidth="true" hidden="false" outlineLevel="0" max="7434" min="7426" style="2" width="13.44"/>
    <col collapsed="false" customWidth="false" hidden="false" outlineLevel="0" max="7678" min="7435" style="2" width="9.11"/>
    <col collapsed="false" customWidth="true" hidden="false" outlineLevel="0" max="7679" min="7679" style="2" width="2.44"/>
    <col collapsed="false" customWidth="true" hidden="false" outlineLevel="0" max="7680" min="7680" style="2" width="37.56"/>
    <col collapsed="false" customWidth="true" hidden="false" outlineLevel="0" max="7681" min="7681" style="2" width="12.56"/>
    <col collapsed="false" customWidth="true" hidden="false" outlineLevel="0" max="7690" min="7682" style="2" width="13.44"/>
    <col collapsed="false" customWidth="false" hidden="false" outlineLevel="0" max="7934" min="7691" style="2" width="9.11"/>
    <col collapsed="false" customWidth="true" hidden="false" outlineLevel="0" max="7935" min="7935" style="2" width="2.44"/>
    <col collapsed="false" customWidth="true" hidden="false" outlineLevel="0" max="7936" min="7936" style="2" width="37.56"/>
    <col collapsed="false" customWidth="true" hidden="false" outlineLevel="0" max="7937" min="7937" style="2" width="12.56"/>
    <col collapsed="false" customWidth="true" hidden="false" outlineLevel="0" max="7946" min="7938" style="2" width="13.44"/>
    <col collapsed="false" customWidth="false" hidden="false" outlineLevel="0" max="8190" min="7947" style="2" width="9.11"/>
    <col collapsed="false" customWidth="true" hidden="false" outlineLevel="0" max="8191" min="8191" style="2" width="2.44"/>
    <col collapsed="false" customWidth="true" hidden="false" outlineLevel="0" max="8192" min="8192" style="2" width="37.56"/>
    <col collapsed="false" customWidth="true" hidden="false" outlineLevel="0" max="8193" min="8193" style="2" width="12.56"/>
    <col collapsed="false" customWidth="true" hidden="false" outlineLevel="0" max="8202" min="8194" style="2" width="13.44"/>
    <col collapsed="false" customWidth="false" hidden="false" outlineLevel="0" max="8446" min="8203" style="2" width="9.11"/>
    <col collapsed="false" customWidth="true" hidden="false" outlineLevel="0" max="8447" min="8447" style="2" width="2.44"/>
    <col collapsed="false" customWidth="true" hidden="false" outlineLevel="0" max="8448" min="8448" style="2" width="37.56"/>
    <col collapsed="false" customWidth="true" hidden="false" outlineLevel="0" max="8449" min="8449" style="2" width="12.56"/>
    <col collapsed="false" customWidth="true" hidden="false" outlineLevel="0" max="8458" min="8450" style="2" width="13.44"/>
    <col collapsed="false" customWidth="false" hidden="false" outlineLevel="0" max="8702" min="8459" style="2" width="9.11"/>
    <col collapsed="false" customWidth="true" hidden="false" outlineLevel="0" max="8703" min="8703" style="2" width="2.44"/>
    <col collapsed="false" customWidth="true" hidden="false" outlineLevel="0" max="8704" min="8704" style="2" width="37.56"/>
    <col collapsed="false" customWidth="true" hidden="false" outlineLevel="0" max="8705" min="8705" style="2" width="12.56"/>
    <col collapsed="false" customWidth="true" hidden="false" outlineLevel="0" max="8714" min="8706" style="2" width="13.44"/>
    <col collapsed="false" customWidth="false" hidden="false" outlineLevel="0" max="8958" min="8715" style="2" width="9.11"/>
    <col collapsed="false" customWidth="true" hidden="false" outlineLevel="0" max="8959" min="8959" style="2" width="2.44"/>
    <col collapsed="false" customWidth="true" hidden="false" outlineLevel="0" max="8960" min="8960" style="2" width="37.56"/>
    <col collapsed="false" customWidth="true" hidden="false" outlineLevel="0" max="8961" min="8961" style="2" width="12.56"/>
    <col collapsed="false" customWidth="true" hidden="false" outlineLevel="0" max="8970" min="8962" style="2" width="13.44"/>
    <col collapsed="false" customWidth="false" hidden="false" outlineLevel="0" max="9214" min="8971" style="2" width="9.11"/>
    <col collapsed="false" customWidth="true" hidden="false" outlineLevel="0" max="9215" min="9215" style="2" width="2.44"/>
    <col collapsed="false" customWidth="true" hidden="false" outlineLevel="0" max="9216" min="9216" style="2" width="37.56"/>
    <col collapsed="false" customWidth="true" hidden="false" outlineLevel="0" max="9217" min="9217" style="2" width="12.56"/>
    <col collapsed="false" customWidth="true" hidden="false" outlineLevel="0" max="9226" min="9218" style="2" width="13.44"/>
    <col collapsed="false" customWidth="false" hidden="false" outlineLevel="0" max="9470" min="9227" style="2" width="9.11"/>
    <col collapsed="false" customWidth="true" hidden="false" outlineLevel="0" max="9471" min="9471" style="2" width="2.44"/>
    <col collapsed="false" customWidth="true" hidden="false" outlineLevel="0" max="9472" min="9472" style="2" width="37.56"/>
    <col collapsed="false" customWidth="true" hidden="false" outlineLevel="0" max="9473" min="9473" style="2" width="12.56"/>
    <col collapsed="false" customWidth="true" hidden="false" outlineLevel="0" max="9482" min="9474" style="2" width="13.44"/>
    <col collapsed="false" customWidth="false" hidden="false" outlineLevel="0" max="9726" min="9483" style="2" width="9.11"/>
    <col collapsed="false" customWidth="true" hidden="false" outlineLevel="0" max="9727" min="9727" style="2" width="2.44"/>
    <col collapsed="false" customWidth="true" hidden="false" outlineLevel="0" max="9728" min="9728" style="2" width="37.56"/>
    <col collapsed="false" customWidth="true" hidden="false" outlineLevel="0" max="9729" min="9729" style="2" width="12.56"/>
    <col collapsed="false" customWidth="true" hidden="false" outlineLevel="0" max="9738" min="9730" style="2" width="13.44"/>
    <col collapsed="false" customWidth="false" hidden="false" outlineLevel="0" max="9982" min="9739" style="2" width="9.11"/>
    <col collapsed="false" customWidth="true" hidden="false" outlineLevel="0" max="9983" min="9983" style="2" width="2.44"/>
    <col collapsed="false" customWidth="true" hidden="false" outlineLevel="0" max="9984" min="9984" style="2" width="37.56"/>
    <col collapsed="false" customWidth="true" hidden="false" outlineLevel="0" max="9985" min="9985" style="2" width="12.56"/>
    <col collapsed="false" customWidth="true" hidden="false" outlineLevel="0" max="9994" min="9986" style="2" width="13.44"/>
    <col collapsed="false" customWidth="false" hidden="false" outlineLevel="0" max="10238" min="9995" style="2" width="9.11"/>
    <col collapsed="false" customWidth="true" hidden="false" outlineLevel="0" max="10239" min="10239" style="2" width="2.44"/>
    <col collapsed="false" customWidth="true" hidden="false" outlineLevel="0" max="10240" min="10240" style="2" width="37.56"/>
    <col collapsed="false" customWidth="true" hidden="false" outlineLevel="0" max="10241" min="10241" style="2" width="12.56"/>
    <col collapsed="false" customWidth="true" hidden="false" outlineLevel="0" max="10250" min="10242" style="2" width="13.44"/>
    <col collapsed="false" customWidth="false" hidden="false" outlineLevel="0" max="10494" min="10251" style="2" width="9.11"/>
    <col collapsed="false" customWidth="true" hidden="false" outlineLevel="0" max="10495" min="10495" style="2" width="2.44"/>
    <col collapsed="false" customWidth="true" hidden="false" outlineLevel="0" max="10496" min="10496" style="2" width="37.56"/>
    <col collapsed="false" customWidth="true" hidden="false" outlineLevel="0" max="10497" min="10497" style="2" width="12.56"/>
    <col collapsed="false" customWidth="true" hidden="false" outlineLevel="0" max="10506" min="10498" style="2" width="13.44"/>
    <col collapsed="false" customWidth="false" hidden="false" outlineLevel="0" max="10750" min="10507" style="2" width="9.11"/>
    <col collapsed="false" customWidth="true" hidden="false" outlineLevel="0" max="10751" min="10751" style="2" width="2.44"/>
    <col collapsed="false" customWidth="true" hidden="false" outlineLevel="0" max="10752" min="10752" style="2" width="37.56"/>
    <col collapsed="false" customWidth="true" hidden="false" outlineLevel="0" max="10753" min="10753" style="2" width="12.56"/>
    <col collapsed="false" customWidth="true" hidden="false" outlineLevel="0" max="10762" min="10754" style="2" width="13.44"/>
    <col collapsed="false" customWidth="false" hidden="false" outlineLevel="0" max="11006" min="10763" style="2" width="9.11"/>
    <col collapsed="false" customWidth="true" hidden="false" outlineLevel="0" max="11007" min="11007" style="2" width="2.44"/>
    <col collapsed="false" customWidth="true" hidden="false" outlineLevel="0" max="11008" min="11008" style="2" width="37.56"/>
    <col collapsed="false" customWidth="true" hidden="false" outlineLevel="0" max="11009" min="11009" style="2" width="12.56"/>
    <col collapsed="false" customWidth="true" hidden="false" outlineLevel="0" max="11018" min="11010" style="2" width="13.44"/>
    <col collapsed="false" customWidth="false" hidden="false" outlineLevel="0" max="11262" min="11019" style="2" width="9.11"/>
    <col collapsed="false" customWidth="true" hidden="false" outlineLevel="0" max="11263" min="11263" style="2" width="2.44"/>
    <col collapsed="false" customWidth="true" hidden="false" outlineLevel="0" max="11264" min="11264" style="2" width="37.56"/>
    <col collapsed="false" customWidth="true" hidden="false" outlineLevel="0" max="11265" min="11265" style="2" width="12.56"/>
    <col collapsed="false" customWidth="true" hidden="false" outlineLevel="0" max="11274" min="11266" style="2" width="13.44"/>
    <col collapsed="false" customWidth="false" hidden="false" outlineLevel="0" max="11518" min="11275" style="2" width="9.11"/>
    <col collapsed="false" customWidth="true" hidden="false" outlineLevel="0" max="11519" min="11519" style="2" width="2.44"/>
    <col collapsed="false" customWidth="true" hidden="false" outlineLevel="0" max="11520" min="11520" style="2" width="37.56"/>
    <col collapsed="false" customWidth="true" hidden="false" outlineLevel="0" max="11521" min="11521" style="2" width="12.56"/>
    <col collapsed="false" customWidth="true" hidden="false" outlineLevel="0" max="11530" min="11522" style="2" width="13.44"/>
    <col collapsed="false" customWidth="false" hidden="false" outlineLevel="0" max="11774" min="11531" style="2" width="9.11"/>
    <col collapsed="false" customWidth="true" hidden="false" outlineLevel="0" max="11775" min="11775" style="2" width="2.44"/>
    <col collapsed="false" customWidth="true" hidden="false" outlineLevel="0" max="11776" min="11776" style="2" width="37.56"/>
    <col collapsed="false" customWidth="true" hidden="false" outlineLevel="0" max="11777" min="11777" style="2" width="12.56"/>
    <col collapsed="false" customWidth="true" hidden="false" outlineLevel="0" max="11786" min="11778" style="2" width="13.44"/>
    <col collapsed="false" customWidth="false" hidden="false" outlineLevel="0" max="12030" min="11787" style="2" width="9.11"/>
    <col collapsed="false" customWidth="true" hidden="false" outlineLevel="0" max="12031" min="12031" style="2" width="2.44"/>
    <col collapsed="false" customWidth="true" hidden="false" outlineLevel="0" max="12032" min="12032" style="2" width="37.56"/>
    <col collapsed="false" customWidth="true" hidden="false" outlineLevel="0" max="12033" min="12033" style="2" width="12.56"/>
    <col collapsed="false" customWidth="true" hidden="false" outlineLevel="0" max="12042" min="12034" style="2" width="13.44"/>
    <col collapsed="false" customWidth="false" hidden="false" outlineLevel="0" max="12286" min="12043" style="2" width="9.11"/>
    <col collapsed="false" customWidth="true" hidden="false" outlineLevel="0" max="12287" min="12287" style="2" width="2.44"/>
    <col collapsed="false" customWidth="true" hidden="false" outlineLevel="0" max="12288" min="12288" style="2" width="37.56"/>
    <col collapsed="false" customWidth="true" hidden="false" outlineLevel="0" max="12289" min="12289" style="2" width="12.56"/>
    <col collapsed="false" customWidth="true" hidden="false" outlineLevel="0" max="12298" min="12290" style="2" width="13.44"/>
    <col collapsed="false" customWidth="false" hidden="false" outlineLevel="0" max="12542" min="12299" style="2" width="9.11"/>
    <col collapsed="false" customWidth="true" hidden="false" outlineLevel="0" max="12543" min="12543" style="2" width="2.44"/>
    <col collapsed="false" customWidth="true" hidden="false" outlineLevel="0" max="12544" min="12544" style="2" width="37.56"/>
    <col collapsed="false" customWidth="true" hidden="false" outlineLevel="0" max="12545" min="12545" style="2" width="12.56"/>
    <col collapsed="false" customWidth="true" hidden="false" outlineLevel="0" max="12554" min="12546" style="2" width="13.44"/>
    <col collapsed="false" customWidth="false" hidden="false" outlineLevel="0" max="12798" min="12555" style="2" width="9.11"/>
    <col collapsed="false" customWidth="true" hidden="false" outlineLevel="0" max="12799" min="12799" style="2" width="2.44"/>
    <col collapsed="false" customWidth="true" hidden="false" outlineLevel="0" max="12800" min="12800" style="2" width="37.56"/>
    <col collapsed="false" customWidth="true" hidden="false" outlineLevel="0" max="12801" min="12801" style="2" width="12.56"/>
    <col collapsed="false" customWidth="true" hidden="false" outlineLevel="0" max="12810" min="12802" style="2" width="13.44"/>
    <col collapsed="false" customWidth="false" hidden="false" outlineLevel="0" max="13054" min="12811" style="2" width="9.11"/>
    <col collapsed="false" customWidth="true" hidden="false" outlineLevel="0" max="13055" min="13055" style="2" width="2.44"/>
    <col collapsed="false" customWidth="true" hidden="false" outlineLevel="0" max="13056" min="13056" style="2" width="37.56"/>
    <col collapsed="false" customWidth="true" hidden="false" outlineLevel="0" max="13057" min="13057" style="2" width="12.56"/>
    <col collapsed="false" customWidth="true" hidden="false" outlineLevel="0" max="13066" min="13058" style="2" width="13.44"/>
    <col collapsed="false" customWidth="false" hidden="false" outlineLevel="0" max="13310" min="13067" style="2" width="9.11"/>
    <col collapsed="false" customWidth="true" hidden="false" outlineLevel="0" max="13311" min="13311" style="2" width="2.44"/>
    <col collapsed="false" customWidth="true" hidden="false" outlineLevel="0" max="13312" min="13312" style="2" width="37.56"/>
    <col collapsed="false" customWidth="true" hidden="false" outlineLevel="0" max="13313" min="13313" style="2" width="12.56"/>
    <col collapsed="false" customWidth="true" hidden="false" outlineLevel="0" max="13322" min="13314" style="2" width="13.44"/>
    <col collapsed="false" customWidth="false" hidden="false" outlineLevel="0" max="13566" min="13323" style="2" width="9.11"/>
    <col collapsed="false" customWidth="true" hidden="false" outlineLevel="0" max="13567" min="13567" style="2" width="2.44"/>
    <col collapsed="false" customWidth="true" hidden="false" outlineLevel="0" max="13568" min="13568" style="2" width="37.56"/>
    <col collapsed="false" customWidth="true" hidden="false" outlineLevel="0" max="13569" min="13569" style="2" width="12.56"/>
    <col collapsed="false" customWidth="true" hidden="false" outlineLevel="0" max="13578" min="13570" style="2" width="13.44"/>
    <col collapsed="false" customWidth="false" hidden="false" outlineLevel="0" max="13822" min="13579" style="2" width="9.11"/>
    <col collapsed="false" customWidth="true" hidden="false" outlineLevel="0" max="13823" min="13823" style="2" width="2.44"/>
    <col collapsed="false" customWidth="true" hidden="false" outlineLevel="0" max="13824" min="13824" style="2" width="37.56"/>
    <col collapsed="false" customWidth="true" hidden="false" outlineLevel="0" max="13825" min="13825" style="2" width="12.56"/>
    <col collapsed="false" customWidth="true" hidden="false" outlineLevel="0" max="13834" min="13826" style="2" width="13.44"/>
    <col collapsed="false" customWidth="false" hidden="false" outlineLevel="0" max="14078" min="13835" style="2" width="9.11"/>
    <col collapsed="false" customWidth="true" hidden="false" outlineLevel="0" max="14079" min="14079" style="2" width="2.44"/>
    <col collapsed="false" customWidth="true" hidden="false" outlineLevel="0" max="14080" min="14080" style="2" width="37.56"/>
    <col collapsed="false" customWidth="true" hidden="false" outlineLevel="0" max="14081" min="14081" style="2" width="12.56"/>
    <col collapsed="false" customWidth="true" hidden="false" outlineLevel="0" max="14090" min="14082" style="2" width="13.44"/>
    <col collapsed="false" customWidth="false" hidden="false" outlineLevel="0" max="14334" min="14091" style="2" width="9.11"/>
    <col collapsed="false" customWidth="true" hidden="false" outlineLevel="0" max="14335" min="14335" style="2" width="2.44"/>
    <col collapsed="false" customWidth="true" hidden="false" outlineLevel="0" max="14336" min="14336" style="2" width="37.56"/>
    <col collapsed="false" customWidth="true" hidden="false" outlineLevel="0" max="14337" min="14337" style="2" width="12.56"/>
    <col collapsed="false" customWidth="true" hidden="false" outlineLevel="0" max="14346" min="14338" style="2" width="13.44"/>
    <col collapsed="false" customWidth="false" hidden="false" outlineLevel="0" max="14590" min="14347" style="2" width="9.11"/>
    <col collapsed="false" customWidth="true" hidden="false" outlineLevel="0" max="14591" min="14591" style="2" width="2.44"/>
    <col collapsed="false" customWidth="true" hidden="false" outlineLevel="0" max="14592" min="14592" style="2" width="37.56"/>
    <col collapsed="false" customWidth="true" hidden="false" outlineLevel="0" max="14593" min="14593" style="2" width="12.56"/>
    <col collapsed="false" customWidth="true" hidden="false" outlineLevel="0" max="14602" min="14594" style="2" width="13.44"/>
    <col collapsed="false" customWidth="false" hidden="false" outlineLevel="0" max="14846" min="14603" style="2" width="9.11"/>
    <col collapsed="false" customWidth="true" hidden="false" outlineLevel="0" max="14847" min="14847" style="2" width="2.44"/>
    <col collapsed="false" customWidth="true" hidden="false" outlineLevel="0" max="14848" min="14848" style="2" width="37.56"/>
    <col collapsed="false" customWidth="true" hidden="false" outlineLevel="0" max="14849" min="14849" style="2" width="12.56"/>
    <col collapsed="false" customWidth="true" hidden="false" outlineLevel="0" max="14858" min="14850" style="2" width="13.44"/>
    <col collapsed="false" customWidth="false" hidden="false" outlineLevel="0" max="15102" min="14859" style="2" width="9.11"/>
    <col collapsed="false" customWidth="true" hidden="false" outlineLevel="0" max="15103" min="15103" style="2" width="2.44"/>
    <col collapsed="false" customWidth="true" hidden="false" outlineLevel="0" max="15104" min="15104" style="2" width="37.56"/>
    <col collapsed="false" customWidth="true" hidden="false" outlineLevel="0" max="15105" min="15105" style="2" width="12.56"/>
    <col collapsed="false" customWidth="true" hidden="false" outlineLevel="0" max="15114" min="15106" style="2" width="13.44"/>
    <col collapsed="false" customWidth="false" hidden="false" outlineLevel="0" max="15358" min="15115" style="2" width="9.11"/>
    <col collapsed="false" customWidth="true" hidden="false" outlineLevel="0" max="15359" min="15359" style="2" width="2.44"/>
    <col collapsed="false" customWidth="true" hidden="false" outlineLevel="0" max="15360" min="15360" style="2" width="37.56"/>
    <col collapsed="false" customWidth="true" hidden="false" outlineLevel="0" max="15361" min="15361" style="2" width="12.56"/>
    <col collapsed="false" customWidth="true" hidden="false" outlineLevel="0" max="15370" min="15362" style="2" width="13.44"/>
    <col collapsed="false" customWidth="false" hidden="false" outlineLevel="0" max="15614" min="15371" style="2" width="9.11"/>
    <col collapsed="false" customWidth="true" hidden="false" outlineLevel="0" max="15615" min="15615" style="2" width="2.44"/>
    <col collapsed="false" customWidth="true" hidden="false" outlineLevel="0" max="15616" min="15616" style="2" width="37.56"/>
    <col collapsed="false" customWidth="true" hidden="false" outlineLevel="0" max="15617" min="15617" style="2" width="12.56"/>
    <col collapsed="false" customWidth="true" hidden="false" outlineLevel="0" max="15626" min="15618" style="2" width="13.44"/>
    <col collapsed="false" customWidth="false" hidden="false" outlineLevel="0" max="15870" min="15627" style="2" width="9.11"/>
    <col collapsed="false" customWidth="true" hidden="false" outlineLevel="0" max="15871" min="15871" style="2" width="2.44"/>
    <col collapsed="false" customWidth="true" hidden="false" outlineLevel="0" max="15872" min="15872" style="2" width="37.56"/>
    <col collapsed="false" customWidth="true" hidden="false" outlineLevel="0" max="15873" min="15873" style="2" width="12.56"/>
    <col collapsed="false" customWidth="true" hidden="false" outlineLevel="0" max="15882" min="15874" style="2" width="13.44"/>
    <col collapsed="false" customWidth="false" hidden="false" outlineLevel="0" max="16126" min="15883" style="2" width="9.11"/>
    <col collapsed="false" customWidth="true" hidden="false" outlineLevel="0" max="16127" min="16127" style="2" width="2.44"/>
    <col collapsed="false" customWidth="true" hidden="false" outlineLevel="0" max="16128" min="16128" style="2" width="37.56"/>
    <col collapsed="false" customWidth="true" hidden="false" outlineLevel="0" max="16129" min="16129" style="2" width="12.56"/>
    <col collapsed="false" customWidth="true" hidden="false" outlineLevel="0" max="16138" min="16130" style="2" width="13.44"/>
    <col collapsed="false" customWidth="false" hidden="false" outlineLevel="0" max="16384" min="16139" style="2" width="9.11"/>
  </cols>
  <sheetData>
    <row r="1" customFormat="false" ht="21.75" hidden="false" customHeight="true" outlineLevel="0" collapsed="false">
      <c r="A1" s="415" t="s">
        <v>0</v>
      </c>
    </row>
    <row r="2" s="2" customFormat="true" ht="18" hidden="false" customHeight="true" outlineLevel="0" collapsed="false">
      <c r="B2" s="416" t="s">
        <v>241</v>
      </c>
      <c r="C2" s="5"/>
      <c r="D2" s="5"/>
      <c r="E2" s="5"/>
      <c r="F2" s="5"/>
      <c r="G2" s="5"/>
      <c r="H2" s="5"/>
      <c r="I2" s="5"/>
      <c r="J2" s="5"/>
    </row>
    <row r="3" s="2" customFormat="true" ht="13.5" hidden="false" customHeight="true" outlineLevel="0" collapsed="false"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</row>
    <row r="4" s="2" customFormat="true" ht="13.5" hidden="false" customHeight="true" outlineLevel="0" collapsed="false">
      <c r="B4" s="417" t="s">
        <v>5</v>
      </c>
      <c r="C4" s="12" t="s">
        <v>6</v>
      </c>
      <c r="D4" s="12" t="s">
        <v>7</v>
      </c>
      <c r="E4" s="13" t="s">
        <v>8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</row>
    <row r="5" customFormat="false" ht="13.5" hidden="false" customHeight="true" outlineLevel="0" collapsed="false">
      <c r="B5" s="142"/>
      <c r="C5" s="5"/>
      <c r="D5" s="5"/>
      <c r="E5" s="5"/>
      <c r="F5" s="5"/>
      <c r="G5" s="5"/>
      <c r="H5" s="5"/>
      <c r="I5" s="5"/>
      <c r="J5" s="5"/>
    </row>
    <row r="6" customFormat="false" ht="13.5" hidden="false" customHeight="true" outlineLevel="0" collapsed="false">
      <c r="B6" s="89" t="s">
        <v>66</v>
      </c>
      <c r="C6" s="418" t="n">
        <f aca="false">'Balance Sheet'!C25</f>
        <v>1671.7</v>
      </c>
      <c r="D6" s="418" t="n">
        <f aca="false">'Balance Sheet'!D25</f>
        <v>1671.7</v>
      </c>
      <c r="E6" s="418" t="n">
        <f aca="false">'Balance Sheet'!E25</f>
        <v>1671.7</v>
      </c>
      <c r="F6" s="291" t="n">
        <f aca="false">E6</f>
        <v>1671.7</v>
      </c>
      <c r="G6" s="291" t="n">
        <f aca="false">F6</f>
        <v>1671.7</v>
      </c>
      <c r="H6" s="291" t="n">
        <f aca="false">G6</f>
        <v>1671.7</v>
      </c>
      <c r="I6" s="291" t="n">
        <f aca="false">H6</f>
        <v>1671.7</v>
      </c>
      <c r="J6" s="291" t="n">
        <f aca="false">I6</f>
        <v>1671.7</v>
      </c>
    </row>
    <row r="7" customFormat="false" ht="13.5" hidden="false" customHeight="true" outlineLevel="0" collapsed="false">
      <c r="B7" s="89" t="s">
        <v>52</v>
      </c>
      <c r="C7" s="43" t="n">
        <f aca="false">'Balance Sheet'!C8</f>
        <v>40</v>
      </c>
      <c r="D7" s="43" t="n">
        <f aca="false">'Balance Sheet'!D8</f>
        <v>50</v>
      </c>
      <c r="E7" s="43" t="n">
        <f aca="false">'Balance Sheet'!E8</f>
        <v>60</v>
      </c>
      <c r="F7" s="311" t="n">
        <f aca="false">E7+10</f>
        <v>70</v>
      </c>
      <c r="G7" s="311" t="n">
        <f aca="false">F7+10</f>
        <v>80</v>
      </c>
      <c r="H7" s="311" t="n">
        <f aca="false">G7+10</f>
        <v>90</v>
      </c>
      <c r="I7" s="311" t="n">
        <f aca="false">H7+10</f>
        <v>100</v>
      </c>
      <c r="J7" s="311" t="n">
        <f aca="false">I7+10</f>
        <v>110</v>
      </c>
    </row>
    <row r="8" customFormat="false" ht="13.5" hidden="false" customHeight="true" outlineLevel="0" collapsed="false">
      <c r="B8" s="89" t="s">
        <v>57</v>
      </c>
      <c r="C8" s="43" t="n">
        <f aca="false">'Balance Sheet'!C14</f>
        <v>160</v>
      </c>
      <c r="D8" s="43" t="n">
        <f aca="false">'Balance Sheet'!D14</f>
        <v>180</v>
      </c>
      <c r="E8" s="43" t="n">
        <f aca="false">'Balance Sheet'!E14</f>
        <v>200</v>
      </c>
      <c r="F8" s="311" t="n">
        <f aca="false">E8+20</f>
        <v>220</v>
      </c>
      <c r="G8" s="311" t="n">
        <f aca="false">F8+20</f>
        <v>240</v>
      </c>
      <c r="H8" s="311" t="n">
        <f aca="false">G8+20</f>
        <v>260</v>
      </c>
      <c r="I8" s="311" t="n">
        <f aca="false">H8+20</f>
        <v>280</v>
      </c>
      <c r="J8" s="311" t="n">
        <f aca="false">I8+20</f>
        <v>300</v>
      </c>
    </row>
    <row r="9" customFormat="false" ht="13.5" hidden="false" customHeight="true" outlineLevel="0" collapsed="false">
      <c r="B9" s="109" t="s">
        <v>77</v>
      </c>
      <c r="C9" s="43" t="n">
        <f aca="false">'Balance Sheet'!C40</f>
        <v>153</v>
      </c>
      <c r="D9" s="43" t="n">
        <f aca="false">'Balance Sheet'!D40</f>
        <v>157.3</v>
      </c>
      <c r="E9" s="43" t="n">
        <f aca="false">'Balance Sheet'!E40</f>
        <v>187.1</v>
      </c>
      <c r="F9" s="311" t="n">
        <f aca="false">E9</f>
        <v>187.1</v>
      </c>
      <c r="G9" s="311" t="n">
        <f aca="false">F9</f>
        <v>187.1</v>
      </c>
      <c r="H9" s="311" t="n">
        <f aca="false">G9</f>
        <v>187.1</v>
      </c>
      <c r="I9" s="311" t="n">
        <f aca="false">H9</f>
        <v>187.1</v>
      </c>
      <c r="J9" s="311" t="n">
        <f aca="false">I9</f>
        <v>187.1</v>
      </c>
      <c r="K9" s="313"/>
    </row>
    <row r="10" customFormat="false" ht="13.5" hidden="false" customHeight="true" outlineLevel="0" collapsed="false">
      <c r="B10" s="109" t="s">
        <v>78</v>
      </c>
      <c r="C10" s="43" t="n">
        <f aca="false">'Balance Sheet'!C41</f>
        <v>72.7</v>
      </c>
      <c r="D10" s="43" t="n">
        <f aca="false">'Balance Sheet'!D41</f>
        <v>54.4</v>
      </c>
      <c r="E10" s="43" t="n">
        <f aca="false">'Balance Sheet'!E41</f>
        <v>60.6</v>
      </c>
      <c r="F10" s="311" t="n">
        <f aca="false">E10</f>
        <v>60.6</v>
      </c>
      <c r="G10" s="311" t="n">
        <f aca="false">F10</f>
        <v>60.6</v>
      </c>
      <c r="H10" s="311" t="n">
        <f aca="false">G10</f>
        <v>60.6</v>
      </c>
      <c r="I10" s="311" t="n">
        <f aca="false">H10</f>
        <v>60.6</v>
      </c>
      <c r="J10" s="311" t="n">
        <f aca="false">I10</f>
        <v>60.6</v>
      </c>
    </row>
    <row r="11" customFormat="false" ht="13.5" hidden="false" customHeight="true" outlineLevel="0" collapsed="false">
      <c r="C11" s="148"/>
      <c r="D11" s="148"/>
      <c r="E11" s="148"/>
      <c r="F11" s="148"/>
      <c r="G11" s="148"/>
      <c r="H11" s="148"/>
      <c r="I11" s="148"/>
      <c r="J11" s="148"/>
    </row>
    <row r="12" customFormat="false" ht="13.5" hidden="false" customHeight="true" outlineLevel="0" collapsed="false">
      <c r="C12" s="148"/>
      <c r="D12" s="148"/>
      <c r="E12" s="148"/>
      <c r="F12" s="148"/>
      <c r="G12" s="148"/>
      <c r="H12" s="148"/>
      <c r="I12" s="148"/>
      <c r="J12" s="148"/>
    </row>
    <row r="13" customFormat="false" ht="13.5" hidden="false" customHeight="true" outlineLevel="0" collapsed="false">
      <c r="C13" s="148"/>
      <c r="D13" s="148"/>
      <c r="E13" s="148"/>
      <c r="F13" s="148"/>
      <c r="G13" s="148"/>
      <c r="H13" s="148"/>
      <c r="I13" s="148"/>
      <c r="J13" s="148"/>
    </row>
  </sheetData>
  <mergeCells count="2">
    <mergeCell ref="C3:E3"/>
    <mergeCell ref="F3:J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36B00"/>
    <pageSetUpPr fitToPage="false"/>
  </sheetPr>
  <dimension ref="A1:S66"/>
  <sheetViews>
    <sheetView showFormulas="false" showGridLines="fals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R1" activeCellId="0" sqref="R1"/>
    </sheetView>
  </sheetViews>
  <sheetFormatPr defaultColWidth="9.109375" defaultRowHeight="12.75" zeroHeight="false" outlineLevelRow="0" outlineLevelCol="1"/>
  <cols>
    <col collapsed="false" customWidth="true" hidden="false" outlineLevel="0" max="1" min="1" style="2" width="3"/>
    <col collapsed="false" customWidth="true" hidden="false" outlineLevel="0" max="2" min="2" style="2" width="34"/>
    <col collapsed="false" customWidth="true" hidden="false" outlineLevel="1" max="3" min="3" style="2" width="14.44"/>
    <col collapsed="false" customWidth="true" hidden="false" outlineLevel="0" max="4" min="4" style="2" width="16"/>
    <col collapsed="false" customWidth="true" hidden="false" outlineLevel="0" max="5" min="5" style="2" width="14.88"/>
    <col collapsed="false" customWidth="true" hidden="false" outlineLevel="0" max="8" min="6" style="2" width="13"/>
    <col collapsed="false" customWidth="true" hidden="false" outlineLevel="0" max="9" min="9" style="2" width="14.44"/>
    <col collapsed="false" customWidth="true" hidden="false" outlineLevel="0" max="11" min="10" style="2" width="13.44"/>
    <col collapsed="false" customWidth="true" hidden="false" outlineLevel="0" max="12" min="12" style="2" width="2.67"/>
    <col collapsed="false" customWidth="true" hidden="false" outlineLevel="0" max="13" min="13" style="2" width="14.44"/>
    <col collapsed="false" customWidth="true" hidden="false" outlineLevel="0" max="15" min="14" style="2" width="13.44"/>
    <col collapsed="false" customWidth="true" hidden="false" outlineLevel="0" max="16" min="16" style="2" width="2.67"/>
    <col collapsed="false" customWidth="true" hidden="false" outlineLevel="0" max="17" min="17" style="2" width="14.44"/>
    <col collapsed="false" customWidth="true" hidden="false" outlineLevel="0" max="19" min="18" style="2" width="13.44"/>
    <col collapsed="false" customWidth="false" hidden="false" outlineLevel="0" max="16384" min="20" style="2" width="9.11"/>
  </cols>
  <sheetData>
    <row r="1" customFormat="false" ht="21.75" hidden="false" customHeight="true" outlineLevel="0" collapsed="false">
      <c r="A1" s="419" t="s">
        <v>0</v>
      </c>
    </row>
    <row r="2" customFormat="false" ht="18" hidden="false" customHeight="true" outlineLevel="0" collapsed="false">
      <c r="B2" s="420" t="s">
        <v>242</v>
      </c>
      <c r="C2" s="5"/>
      <c r="D2" s="5"/>
      <c r="E2" s="5"/>
      <c r="F2" s="5"/>
      <c r="G2" s="5"/>
      <c r="H2" s="5"/>
      <c r="I2" s="5"/>
      <c r="J2" s="5"/>
    </row>
    <row r="3" customFormat="false" ht="12.75" hidden="false" customHeight="true" outlineLevel="0" collapsed="false">
      <c r="I3" s="421" t="s">
        <v>243</v>
      </c>
      <c r="J3" s="421"/>
      <c r="K3" s="421"/>
      <c r="M3" s="421" t="s">
        <v>243</v>
      </c>
      <c r="N3" s="421"/>
      <c r="O3" s="421"/>
      <c r="Q3" s="421" t="s">
        <v>243</v>
      </c>
      <c r="R3" s="421"/>
      <c r="S3" s="421"/>
    </row>
    <row r="4" customFormat="false" ht="12.75" hidden="false" customHeight="true" outlineLevel="0" collapsed="false">
      <c r="F4" s="422"/>
      <c r="G4" s="422"/>
      <c r="I4" s="421" t="s">
        <v>244</v>
      </c>
      <c r="J4" s="421"/>
      <c r="K4" s="421"/>
      <c r="M4" s="421" t="s">
        <v>245</v>
      </c>
      <c r="N4" s="421"/>
      <c r="O4" s="421"/>
      <c r="Q4" s="421" t="s">
        <v>246</v>
      </c>
      <c r="R4" s="421"/>
      <c r="S4" s="421"/>
    </row>
    <row r="5" s="65" customFormat="true" ht="15" hidden="false" customHeight="true" outlineLevel="0" collapsed="false">
      <c r="B5" s="423" t="s">
        <v>247</v>
      </c>
      <c r="C5" s="423" t="s">
        <v>248</v>
      </c>
      <c r="D5" s="424"/>
      <c r="E5" s="423" t="s">
        <v>249</v>
      </c>
      <c r="F5" s="425" t="s">
        <v>250</v>
      </c>
      <c r="G5" s="425" t="s">
        <v>251</v>
      </c>
      <c r="H5" s="424"/>
      <c r="I5" s="421" t="s">
        <v>8</v>
      </c>
      <c r="J5" s="421" t="s">
        <v>9</v>
      </c>
      <c r="K5" s="421" t="s">
        <v>10</v>
      </c>
      <c r="L5" s="424"/>
      <c r="M5" s="421" t="s">
        <v>8</v>
      </c>
      <c r="N5" s="421" t="s">
        <v>9</v>
      </c>
      <c r="O5" s="421" t="s">
        <v>10</v>
      </c>
      <c r="P5" s="424"/>
      <c r="Q5" s="421" t="s">
        <v>8</v>
      </c>
      <c r="R5" s="421" t="s">
        <v>9</v>
      </c>
      <c r="S5" s="421" t="s">
        <v>10</v>
      </c>
    </row>
    <row r="6" customFormat="false" ht="12.75" hidden="false" customHeight="true" outlineLevel="0" collapsed="false">
      <c r="B6" s="2" t="s">
        <v>252</v>
      </c>
      <c r="C6" s="426" t="s">
        <v>253</v>
      </c>
      <c r="D6" s="426"/>
      <c r="E6" s="196" t="n">
        <v>175.5</v>
      </c>
      <c r="F6" s="427" t="n">
        <v>7094.94521</v>
      </c>
      <c r="G6" s="2" t="n">
        <v>2538.9165235</v>
      </c>
      <c r="H6" s="427"/>
      <c r="I6" s="428" t="n">
        <v>5.46015890170852</v>
      </c>
      <c r="J6" s="428" t="n">
        <v>5.99622912</v>
      </c>
      <c r="K6" s="428" t="n">
        <v>5.688603648</v>
      </c>
      <c r="L6" s="427"/>
      <c r="M6" s="428" t="n">
        <v>19.3494381079296</v>
      </c>
      <c r="N6" s="428" t="n">
        <v>23.7124952064</v>
      </c>
      <c r="O6" s="428" t="n">
        <v>23.3515892736</v>
      </c>
      <c r="P6" s="427"/>
      <c r="Q6" s="428" t="n">
        <v>26.2599517179044</v>
      </c>
      <c r="R6" s="428" t="n">
        <v>38.1622752</v>
      </c>
      <c r="S6" s="428" t="n">
        <v>39.12523776</v>
      </c>
    </row>
    <row r="7" customFormat="false" ht="12.75" hidden="false" customHeight="true" outlineLevel="0" collapsed="false">
      <c r="B7" s="2" t="s">
        <v>254</v>
      </c>
      <c r="C7" s="426" t="s">
        <v>255</v>
      </c>
      <c r="D7" s="426"/>
      <c r="E7" s="196" t="n">
        <v>8.49</v>
      </c>
      <c r="F7" s="427" t="n">
        <v>652.7746</v>
      </c>
      <c r="G7" s="2" t="n">
        <v>208.5606565</v>
      </c>
      <c r="H7" s="427"/>
      <c r="I7" s="428" t="n">
        <v>1.69115004490177</v>
      </c>
      <c r="J7" s="428" t="n">
        <v>1.92735936</v>
      </c>
      <c r="K7" s="428" t="n">
        <v>1.828479744</v>
      </c>
      <c r="L7" s="427"/>
      <c r="M7" s="428" t="n">
        <v>5.99301297162066</v>
      </c>
      <c r="N7" s="428" t="n">
        <v>7.6218734592</v>
      </c>
      <c r="O7" s="428" t="n">
        <v>7.5058679808</v>
      </c>
      <c r="P7" s="427"/>
      <c r="Q7" s="428" t="n">
        <v>8.13337474719947</v>
      </c>
      <c r="R7" s="428" t="n">
        <v>12.2664456</v>
      </c>
      <c r="S7" s="428" t="n">
        <v>12.57596928</v>
      </c>
    </row>
    <row r="8" customFormat="false" ht="12.75" hidden="false" customHeight="true" outlineLevel="0" collapsed="false">
      <c r="B8" s="2" t="s">
        <v>256</v>
      </c>
      <c r="C8" s="426" t="s">
        <v>257</v>
      </c>
      <c r="D8" s="426"/>
      <c r="E8" s="196" t="n">
        <v>56.97</v>
      </c>
      <c r="F8" s="427" t="n">
        <v>1550.5080831</v>
      </c>
      <c r="G8" s="2" t="n">
        <v>515.678479085</v>
      </c>
      <c r="H8" s="427"/>
      <c r="I8" s="428" t="n">
        <v>6.3474140780891</v>
      </c>
      <c r="J8" s="428" t="n">
        <v>6.63868224</v>
      </c>
      <c r="K8" s="428" t="n">
        <v>6.298096896</v>
      </c>
      <c r="L8" s="427"/>
      <c r="M8" s="428" t="n">
        <v>22.4936486392282</v>
      </c>
      <c r="N8" s="428" t="n">
        <v>26.2531196928</v>
      </c>
      <c r="O8" s="428" t="n">
        <v>25.8535452672</v>
      </c>
      <c r="P8" s="427"/>
      <c r="Q8" s="428" t="n">
        <v>30.5270945818098</v>
      </c>
      <c r="R8" s="428" t="n">
        <v>42.2510904</v>
      </c>
      <c r="S8" s="428" t="n">
        <v>43.31722752</v>
      </c>
    </row>
    <row r="9" customFormat="false" ht="12.75" hidden="false" customHeight="true" outlineLevel="0" collapsed="false">
      <c r="B9" s="2" t="s">
        <v>258</v>
      </c>
      <c r="C9" s="426" t="s">
        <v>259</v>
      </c>
      <c r="D9" s="426"/>
      <c r="E9" s="196" t="n">
        <v>27.85</v>
      </c>
      <c r="F9" s="427" t="n">
        <v>842.40198362</v>
      </c>
      <c r="G9" s="2" t="n">
        <v>269.647344267</v>
      </c>
      <c r="H9" s="427"/>
      <c r="I9" s="428" t="n">
        <v>2.11643826983882</v>
      </c>
      <c r="J9" s="428" t="n">
        <v>2.35566144</v>
      </c>
      <c r="K9" s="428" t="n">
        <v>2.234808576</v>
      </c>
      <c r="L9" s="427"/>
      <c r="M9" s="428" t="n">
        <v>7.50012811874134</v>
      </c>
      <c r="N9" s="428" t="n">
        <v>9.3156231168</v>
      </c>
      <c r="O9" s="428" t="n">
        <v>9.1738386432</v>
      </c>
      <c r="P9" s="427"/>
      <c r="Q9" s="428" t="n">
        <v>10.1787453040061</v>
      </c>
      <c r="R9" s="428" t="n">
        <v>14.9923224</v>
      </c>
      <c r="S9" s="428" t="n">
        <v>15.37062912</v>
      </c>
    </row>
    <row r="10" customFormat="false" ht="12.75" hidden="false" customHeight="true" outlineLevel="0" collapsed="false">
      <c r="B10" s="2" t="s">
        <v>260</v>
      </c>
      <c r="C10" s="426" t="s">
        <v>261</v>
      </c>
      <c r="D10" s="426"/>
      <c r="E10" s="196" t="n">
        <v>105.82</v>
      </c>
      <c r="F10" s="427" t="n">
        <v>6351.94509</v>
      </c>
      <c r="G10" s="2" t="n">
        <v>2156.2285815</v>
      </c>
      <c r="H10" s="427"/>
      <c r="I10" s="428" t="n">
        <v>4.75560198992905</v>
      </c>
      <c r="J10" s="428" t="n">
        <v>5.13962496</v>
      </c>
      <c r="K10" s="428" t="n">
        <v>4.875945984</v>
      </c>
      <c r="L10" s="427"/>
      <c r="M10" s="428" t="n">
        <v>16.8526645518111</v>
      </c>
      <c r="N10" s="428" t="n">
        <v>20.3249958912</v>
      </c>
      <c r="O10" s="428" t="n">
        <v>20.0156479488</v>
      </c>
      <c r="P10" s="427"/>
      <c r="Q10" s="428" t="n">
        <v>22.871473320315</v>
      </c>
      <c r="R10" s="428" t="n">
        <v>32.7105216</v>
      </c>
      <c r="S10" s="428" t="n">
        <v>33.53591808</v>
      </c>
    </row>
    <row r="11" customFormat="false" ht="12.75" hidden="false" customHeight="true" outlineLevel="0" collapsed="false">
      <c r="B11" s="2" t="s">
        <v>262</v>
      </c>
      <c r="C11" s="426" t="s">
        <v>263</v>
      </c>
      <c r="D11" s="426"/>
      <c r="E11" s="196" t="n">
        <v>26.805</v>
      </c>
      <c r="F11" s="427" t="n">
        <v>878.43877846</v>
      </c>
      <c r="G11" s="2" t="n">
        <v>264.333222461</v>
      </c>
      <c r="H11" s="427"/>
      <c r="I11" s="428" t="n">
        <v>1.31562803742723</v>
      </c>
      <c r="J11" s="428" t="n">
        <v>1.49905728</v>
      </c>
      <c r="K11" s="428" t="n">
        <v>1.422150912</v>
      </c>
      <c r="L11" s="427"/>
      <c r="M11" s="428" t="n">
        <v>4.66225685763274</v>
      </c>
      <c r="N11" s="428" t="n">
        <v>5.9281238016</v>
      </c>
      <c r="O11" s="428" t="n">
        <v>5.8378973184</v>
      </c>
      <c r="P11" s="427"/>
      <c r="Q11" s="428" t="n">
        <v>6.32734859250157</v>
      </c>
      <c r="R11" s="428" t="n">
        <v>9.5405688</v>
      </c>
      <c r="S11" s="428" t="n">
        <v>9.78130944</v>
      </c>
    </row>
    <row r="12" customFormat="false" ht="12.75" hidden="false" customHeight="true" outlineLevel="0" collapsed="false">
      <c r="B12" s="2" t="s">
        <v>264</v>
      </c>
      <c r="C12" s="426" t="s">
        <v>265</v>
      </c>
      <c r="D12" s="426"/>
      <c r="E12" s="196" t="n">
        <v>56.12</v>
      </c>
      <c r="F12" s="427" t="n">
        <v>3243.8280636</v>
      </c>
      <c r="G12" s="2" t="n">
        <v>1104.01167226</v>
      </c>
      <c r="H12" s="427"/>
      <c r="I12" s="428" t="n">
        <v>6.72210802993818</v>
      </c>
      <c r="J12" s="428" t="n">
        <v>6.4245312</v>
      </c>
      <c r="K12" s="428" t="n">
        <v>6.09493248</v>
      </c>
      <c r="L12" s="427"/>
      <c r="M12" s="428" t="n">
        <v>23.8214703310934</v>
      </c>
      <c r="N12" s="428" t="n">
        <v>25.406244864</v>
      </c>
      <c r="O12" s="428" t="n">
        <v>25.019559936</v>
      </c>
      <c r="P12" s="427"/>
      <c r="Q12" s="428" t="n">
        <v>32.3291383064839</v>
      </c>
      <c r="R12" s="428" t="n">
        <v>40.888152</v>
      </c>
      <c r="S12" s="428" t="n">
        <v>41.9198976</v>
      </c>
    </row>
    <row r="13" customFormat="false" ht="12.75" hidden="false" customHeight="true" outlineLevel="0" collapsed="false">
      <c r="B13" s="2" t="s">
        <v>266</v>
      </c>
      <c r="C13" s="426" t="s">
        <v>267</v>
      </c>
      <c r="D13" s="426"/>
      <c r="E13" s="196" t="n">
        <v>73.89</v>
      </c>
      <c r="F13" s="427" t="n">
        <v>2912.5359</v>
      </c>
      <c r="G13" s="2" t="n">
        <v>923.030115</v>
      </c>
      <c r="H13" s="427"/>
      <c r="I13" s="428" t="n">
        <v>10.6787563096643</v>
      </c>
      <c r="J13" s="428" t="n">
        <v>10.707552</v>
      </c>
      <c r="K13" s="428" t="n">
        <v>10.1582208</v>
      </c>
      <c r="L13" s="427"/>
      <c r="M13" s="428" t="n">
        <v>37.8428426723728</v>
      </c>
      <c r="N13" s="428" t="n">
        <v>42.34374144</v>
      </c>
      <c r="O13" s="428" t="n">
        <v>41.69926656</v>
      </c>
      <c r="P13" s="427"/>
      <c r="Q13" s="428" t="n">
        <v>51.3581436267917</v>
      </c>
      <c r="R13" s="428" t="n">
        <v>68.14692</v>
      </c>
      <c r="S13" s="428" t="n">
        <v>69.866496</v>
      </c>
    </row>
    <row r="14" customFormat="false" ht="12.75" hidden="false" customHeight="true" outlineLevel="0" collapsed="false">
      <c r="B14" s="2" t="s">
        <v>268</v>
      </c>
      <c r="C14" s="426" t="s">
        <v>269</v>
      </c>
      <c r="D14" s="426"/>
      <c r="E14" s="196" t="n">
        <v>25.63</v>
      </c>
      <c r="F14" s="427" t="n">
        <v>783.6970509</v>
      </c>
      <c r="G14" s="2" t="n">
        <v>271.734767815</v>
      </c>
      <c r="H14" s="427"/>
      <c r="I14" s="428" t="n">
        <v>1.90748682948222</v>
      </c>
      <c r="J14" s="428" t="n">
        <v>2.1415104</v>
      </c>
      <c r="K14" s="428" t="n">
        <v>2.03164416</v>
      </c>
      <c r="L14" s="427"/>
      <c r="M14" s="428" t="n">
        <v>6.75965645197762</v>
      </c>
      <c r="N14" s="428" t="n">
        <v>8.468748288</v>
      </c>
      <c r="O14" s="428" t="n">
        <v>8.339853312</v>
      </c>
      <c r="P14" s="427"/>
      <c r="Q14" s="428" t="n">
        <v>9.17381947054106</v>
      </c>
      <c r="R14" s="428" t="n">
        <v>13.629384</v>
      </c>
      <c r="S14" s="428" t="n">
        <v>13.9732992</v>
      </c>
    </row>
    <row r="15" customFormat="false" ht="12.75" hidden="false" customHeight="true" outlineLevel="0" collapsed="false">
      <c r="B15" s="2" t="s">
        <v>270</v>
      </c>
      <c r="C15" s="426" t="s">
        <v>271</v>
      </c>
      <c r="D15" s="426"/>
      <c r="E15" s="196" t="n">
        <v>35.57</v>
      </c>
      <c r="F15" s="427" t="n">
        <v>1416.09506719</v>
      </c>
      <c r="G15" s="2" t="n">
        <v>455.9359235165</v>
      </c>
      <c r="H15" s="427"/>
      <c r="I15" s="428" t="n">
        <v>3.20051709315178</v>
      </c>
      <c r="J15" s="428" t="n">
        <v>3.42641664</v>
      </c>
      <c r="K15" s="428" t="n">
        <v>3.250630656</v>
      </c>
      <c r="L15" s="427"/>
      <c r="M15" s="428" t="n">
        <v>11.3418324488566</v>
      </c>
      <c r="N15" s="428" t="n">
        <v>13.5499972608</v>
      </c>
      <c r="O15" s="428" t="n">
        <v>13.3437652992</v>
      </c>
      <c r="P15" s="427"/>
      <c r="Q15" s="428" t="n">
        <v>15.3924868948768</v>
      </c>
      <c r="R15" s="428" t="n">
        <v>21.8070144</v>
      </c>
      <c r="S15" s="428" t="n">
        <v>22.35727872</v>
      </c>
    </row>
    <row r="16" customFormat="false" ht="12.75" hidden="false" customHeight="true" outlineLevel="0" collapsed="false">
      <c r="C16" s="426"/>
      <c r="D16" s="426"/>
      <c r="E16" s="196"/>
      <c r="F16" s="427"/>
      <c r="G16" s="427"/>
      <c r="H16" s="427"/>
      <c r="I16" s="429"/>
      <c r="J16" s="429"/>
      <c r="K16" s="429"/>
      <c r="L16" s="427"/>
      <c r="M16" s="429"/>
      <c r="N16" s="429"/>
      <c r="O16" s="429"/>
      <c r="P16" s="427"/>
      <c r="Q16" s="429"/>
      <c r="R16" s="429"/>
      <c r="S16" s="429"/>
    </row>
    <row r="17" customFormat="false" ht="12.75" hidden="false" customHeight="true" outlineLevel="0" collapsed="false">
      <c r="B17" s="430" t="s">
        <v>272</v>
      </c>
      <c r="C17" s="431"/>
      <c r="D17" s="431"/>
      <c r="E17" s="432" t="n">
        <f aca="false">MEDIAN(E6:E15)</f>
        <v>45.845</v>
      </c>
      <c r="F17" s="432" t="n">
        <f aca="false">MEDIAN(F6:F15)</f>
        <v>1483.301575145</v>
      </c>
      <c r="G17" s="432" t="n">
        <f aca="false">MEDIAN(G6:G15)</f>
        <v>485.80720130075</v>
      </c>
      <c r="H17" s="433"/>
      <c r="I17" s="434" t="n">
        <f aca="false">MEDIAN(I6:I15)</f>
        <v>3.97805954154042</v>
      </c>
      <c r="J17" s="434" t="n">
        <f aca="false">MEDIAN(J6:J15)</f>
        <v>4.2830208</v>
      </c>
      <c r="K17" s="434" t="n">
        <f aca="false">MEDIAN(K6:K15)</f>
        <v>4.06328832</v>
      </c>
      <c r="L17" s="435"/>
      <c r="M17" s="434" t="n">
        <f aca="false">MEDIAN(M6:M15)</f>
        <v>14.0972485003339</v>
      </c>
      <c r="N17" s="434" t="n">
        <f aca="false">MEDIAN(N6:N15)</f>
        <v>16.937496576</v>
      </c>
      <c r="O17" s="434" t="n">
        <f aca="false">MEDIAN(O6:O15)</f>
        <v>16.679706624</v>
      </c>
      <c r="P17" s="435"/>
      <c r="Q17" s="434" t="n">
        <f aca="false">MEDIAN(Q6:Q15)</f>
        <v>19.1319801075959</v>
      </c>
      <c r="R17" s="434" t="n">
        <f aca="false">MEDIAN(R6:R15)</f>
        <v>27.258768</v>
      </c>
      <c r="S17" s="434" t="n">
        <f aca="false">MEDIAN(S6:S15)</f>
        <v>27.9465984</v>
      </c>
    </row>
    <row r="18" customFormat="false" ht="12.75" hidden="false" customHeight="true" outlineLevel="0" collapsed="false">
      <c r="B18" s="436" t="s">
        <v>273</v>
      </c>
      <c r="C18" s="437"/>
      <c r="D18" s="437"/>
      <c r="E18" s="438" t="n">
        <f aca="false">AVERAGE(E6:E15)</f>
        <v>59.2645</v>
      </c>
      <c r="F18" s="438" t="n">
        <f aca="false">AVERAGE(F6:F15)</f>
        <v>2572.716982687</v>
      </c>
      <c r="G18" s="438" t="n">
        <f aca="false">AVERAGE(G6:G15)</f>
        <v>870.80772859045</v>
      </c>
      <c r="H18" s="439"/>
      <c r="I18" s="440" t="n">
        <f aca="false">AVERAGE(I6:I15)</f>
        <v>4.4195259584131</v>
      </c>
      <c r="J18" s="440" t="n">
        <f aca="false">AVERAGE(J6:J15)</f>
        <v>4.625662464</v>
      </c>
      <c r="K18" s="440" t="n">
        <f aca="false">AVERAGE(K6:K15)</f>
        <v>4.3883513856</v>
      </c>
      <c r="L18" s="441"/>
      <c r="M18" s="440" t="n">
        <f aca="false">AVERAGE(M6:M15)</f>
        <v>15.6616951151264</v>
      </c>
      <c r="N18" s="440" t="n">
        <f aca="false">AVERAGE(N6:N15)</f>
        <v>18.29249630208</v>
      </c>
      <c r="O18" s="440" t="n">
        <f aca="false">AVERAGE(O6:O15)</f>
        <v>18.01408315392</v>
      </c>
      <c r="P18" s="441"/>
      <c r="Q18" s="440" t="n">
        <f aca="false">AVERAGE(Q6:Q15)</f>
        <v>21.255157656243</v>
      </c>
      <c r="R18" s="440" t="n">
        <f aca="false">AVERAGE(R6:R15)</f>
        <v>29.43946944</v>
      </c>
      <c r="S18" s="440" t="n">
        <f aca="false">AVERAGE(S6:S15)</f>
        <v>30.182326272</v>
      </c>
    </row>
    <row r="19" customFormat="false" ht="12.75" hidden="false" customHeight="true" outlineLevel="0" collapsed="false">
      <c r="B19" s="436" t="s">
        <v>274</v>
      </c>
      <c r="C19" s="437"/>
      <c r="D19" s="437"/>
      <c r="E19" s="438" t="n">
        <f aca="false">MIN(E6:E15)</f>
        <v>8.49</v>
      </c>
      <c r="F19" s="438" t="n">
        <f aca="false">MIN(F6:F15)</f>
        <v>652.7746</v>
      </c>
      <c r="G19" s="438" t="n">
        <f aca="false">MIN(G6:G15)</f>
        <v>208.5606565</v>
      </c>
      <c r="H19" s="439"/>
      <c r="I19" s="440" t="n">
        <f aca="false">MIN(I6:I15)</f>
        <v>1.31562803742723</v>
      </c>
      <c r="J19" s="440" t="n">
        <f aca="false">MIN(J6:J15)</f>
        <v>1.49905728</v>
      </c>
      <c r="K19" s="440" t="n">
        <f aca="false">MIN(K6:K15)</f>
        <v>1.422150912</v>
      </c>
      <c r="L19" s="441"/>
      <c r="M19" s="440" t="n">
        <f aca="false">MIN(M6:M15)</f>
        <v>4.66225685763274</v>
      </c>
      <c r="N19" s="440" t="n">
        <f aca="false">MIN(N6:N15)</f>
        <v>5.9281238016</v>
      </c>
      <c r="O19" s="440" t="n">
        <f aca="false">MIN(O6:O15)</f>
        <v>5.8378973184</v>
      </c>
      <c r="P19" s="441"/>
      <c r="Q19" s="440" t="n">
        <f aca="false">MIN(Q6:Q15)</f>
        <v>6.32734859250157</v>
      </c>
      <c r="R19" s="440" t="n">
        <f aca="false">MIN(R6:R15)</f>
        <v>9.5405688</v>
      </c>
      <c r="S19" s="440" t="n">
        <f aca="false">MIN(S6:S15)</f>
        <v>9.78130944</v>
      </c>
    </row>
    <row r="20" customFormat="false" ht="12.75" hidden="false" customHeight="true" outlineLevel="0" collapsed="false">
      <c r="B20" s="442" t="s">
        <v>275</v>
      </c>
      <c r="C20" s="443"/>
      <c r="D20" s="443"/>
      <c r="E20" s="444" t="n">
        <f aca="false">MAX(E6:E15)</f>
        <v>175.5</v>
      </c>
      <c r="F20" s="444" t="n">
        <f aca="false">MAX(F6:F15)</f>
        <v>7094.94521</v>
      </c>
      <c r="G20" s="444" t="n">
        <f aca="false">MAX(G6:G15)</f>
        <v>2538.9165235</v>
      </c>
      <c r="H20" s="445"/>
      <c r="I20" s="446" t="n">
        <f aca="false">MAX(I6:I15)</f>
        <v>10.6787563096643</v>
      </c>
      <c r="J20" s="446" t="n">
        <f aca="false">MAX(J6:J15)</f>
        <v>10.707552</v>
      </c>
      <c r="K20" s="446" t="n">
        <f aca="false">MAX(K6:K15)</f>
        <v>10.1582208</v>
      </c>
      <c r="L20" s="447"/>
      <c r="M20" s="446" t="n">
        <f aca="false">MAX(M6:M15)</f>
        <v>37.8428426723728</v>
      </c>
      <c r="N20" s="446" t="n">
        <f aca="false">MAX(N6:N15)</f>
        <v>42.34374144</v>
      </c>
      <c r="O20" s="446" t="n">
        <f aca="false">MAX(O6:O15)</f>
        <v>41.69926656</v>
      </c>
      <c r="P20" s="447"/>
      <c r="Q20" s="446" t="n">
        <f aca="false">MAX(Q6:Q15)</f>
        <v>51.3581436267917</v>
      </c>
      <c r="R20" s="446" t="n">
        <f aca="false">MAX(R6:R15)</f>
        <v>68.14692</v>
      </c>
      <c r="S20" s="446" t="n">
        <f aca="false">MAX(S6:S15)</f>
        <v>69.866496</v>
      </c>
    </row>
    <row r="22" customFormat="false" ht="12.75" hidden="false" customHeight="true" outlineLevel="0" collapsed="false">
      <c r="I22" s="428"/>
      <c r="J22" s="428"/>
      <c r="K22" s="428"/>
      <c r="M22" s="428"/>
      <c r="N22" s="428"/>
      <c r="O22" s="428"/>
      <c r="Q22" s="428"/>
      <c r="R22" s="428"/>
      <c r="S22" s="428"/>
    </row>
    <row r="23" customFormat="false" ht="12.75" hidden="false" customHeight="true" outlineLevel="0" collapsed="false">
      <c r="B23" s="448" t="s">
        <v>276</v>
      </c>
    </row>
    <row r="24" customFormat="false" ht="12.75" hidden="false" customHeight="true" outlineLevel="0" collapsed="false">
      <c r="M24" s="428"/>
      <c r="N24" s="428"/>
      <c r="O24" s="428"/>
      <c r="Q24" s="428"/>
      <c r="R24" s="428"/>
    </row>
    <row r="25" customFormat="false" ht="12.75" hidden="false" customHeight="true" outlineLevel="0" collapsed="false">
      <c r="B25" s="449" t="s">
        <v>277</v>
      </c>
      <c r="C25" s="450"/>
      <c r="D25" s="451" t="s">
        <v>278</v>
      </c>
      <c r="E25" s="450"/>
    </row>
    <row r="26" customFormat="false" ht="12.75" hidden="false" customHeight="true" outlineLevel="0" collapsed="false">
      <c r="C26" s="452" t="s">
        <v>279</v>
      </c>
      <c r="D26" s="452" t="s">
        <v>9</v>
      </c>
      <c r="E26" s="452" t="s">
        <v>10</v>
      </c>
    </row>
    <row r="27" customFormat="false" ht="12.75" hidden="false" customHeight="true" outlineLevel="0" collapsed="false">
      <c r="B27" s="65" t="s">
        <v>280</v>
      </c>
      <c r="C27" s="453" t="n">
        <f aca="false">I18</f>
        <v>4.4195259584131</v>
      </c>
      <c r="D27" s="453" t="n">
        <f aca="false">J18</f>
        <v>4.625662464</v>
      </c>
      <c r="E27" s="453" t="n">
        <f aca="false">K18</f>
        <v>4.3883513856</v>
      </c>
    </row>
    <row r="28" customFormat="false" ht="12.75" hidden="false" customHeight="true" outlineLevel="0" collapsed="false">
      <c r="B28" s="65" t="s">
        <v>281</v>
      </c>
      <c r="C28" s="454" t="n">
        <f aca="false">'Income Statement'!E5</f>
        <v>3958.95999668</v>
      </c>
      <c r="D28" s="454" t="n">
        <f aca="false">'Income Statement'!F5</f>
        <v>4119.9659956536</v>
      </c>
      <c r="E28" s="454" t="n">
        <f aca="false">'Income Statement'!G5</f>
        <v>4803.77179223414</v>
      </c>
    </row>
    <row r="29" customFormat="false" ht="12.75" hidden="false" customHeight="true" outlineLevel="0" collapsed="false">
      <c r="B29" s="455" t="s">
        <v>251</v>
      </c>
      <c r="C29" s="456" t="n">
        <f aca="false">C27*C28</f>
        <v>17496.7264736463</v>
      </c>
      <c r="D29" s="456" t="n">
        <f aca="false">D27*D28</f>
        <v>19057.5720590512</v>
      </c>
      <c r="E29" s="456" t="n">
        <f aca="false">E27*E28</f>
        <v>21080.6386005569</v>
      </c>
    </row>
    <row r="31" customFormat="false" ht="12.75" hidden="false" customHeight="true" outlineLevel="0" collapsed="false">
      <c r="B31" s="2" t="s">
        <v>282</v>
      </c>
      <c r="C31" s="457" t="n">
        <f aca="false">'Balance Sheet'!$E$38</f>
        <v>1736</v>
      </c>
      <c r="D31" s="457" t="n">
        <f aca="false">'Balance Sheet'!$F$38</f>
        <v>1485.46929983026</v>
      </c>
      <c r="E31" s="457" t="n">
        <f aca="false">'Balance Sheet'!$G$38</f>
        <v>1273.18130564534</v>
      </c>
    </row>
    <row r="32" customFormat="false" ht="12.75" hidden="false" customHeight="true" outlineLevel="0" collapsed="false">
      <c r="B32" s="2" t="s">
        <v>51</v>
      </c>
      <c r="C32" s="457" t="n">
        <f aca="false">'Balance Sheet'!$E$7</f>
        <v>48.7132671456037</v>
      </c>
      <c r="D32" s="457" t="n">
        <f aca="false">'Balance Sheet'!$F$7</f>
        <v>30.0000000000002</v>
      </c>
      <c r="E32" s="457" t="n">
        <f aca="false">'Balance Sheet'!$G$7</f>
        <v>-1.32094012287916</v>
      </c>
    </row>
    <row r="33" customFormat="false" ht="12.75" hidden="false" customHeight="true" outlineLevel="0" collapsed="false">
      <c r="B33" s="2" t="s">
        <v>52</v>
      </c>
      <c r="C33" s="457" t="n">
        <f aca="false">'Balance Sheet'!$E$8</f>
        <v>60</v>
      </c>
      <c r="D33" s="457" t="n">
        <f aca="false">'Balance Sheet'!$F$8</f>
        <v>70</v>
      </c>
      <c r="E33" s="457" t="n">
        <f aca="false">'Balance Sheet'!$G$8</f>
        <v>80</v>
      </c>
    </row>
    <row r="34" customFormat="false" ht="12.75" hidden="false" customHeight="true" outlineLevel="0" collapsed="false">
      <c r="B34" s="2" t="s">
        <v>57</v>
      </c>
      <c r="C34" s="457" t="n">
        <f aca="false">'Balance Sheet'!$E$14</f>
        <v>200</v>
      </c>
      <c r="D34" s="457" t="n">
        <f aca="false">'Balance Sheet'!$F$14</f>
        <v>220</v>
      </c>
      <c r="E34" s="457" t="n">
        <f aca="false">'Balance Sheet'!$G$14</f>
        <v>240</v>
      </c>
    </row>
    <row r="35" customFormat="false" ht="12.75" hidden="false" customHeight="true" outlineLevel="0" collapsed="false">
      <c r="B35" s="186" t="s">
        <v>283</v>
      </c>
      <c r="C35" s="455" t="n">
        <f aca="false">C29+C32-C31+C33+C34</f>
        <v>16069.4397407919</v>
      </c>
      <c r="D35" s="455" t="n">
        <f aca="false">D29+D32-D31+D33+D34</f>
        <v>17892.102759221</v>
      </c>
      <c r="E35" s="455" t="n">
        <f aca="false">E29+E32-E31+E33+E34</f>
        <v>20126.1363547887</v>
      </c>
    </row>
    <row r="36" customFormat="false" ht="12.75" hidden="false" customHeight="true" outlineLevel="0" collapsed="false">
      <c r="B36" s="2" t="s">
        <v>284</v>
      </c>
      <c r="C36" s="94" t="n">
        <f aca="false">'Income Statement'!$E$24</f>
        <v>96.6156896551724</v>
      </c>
      <c r="D36" s="94" t="n">
        <f aca="false">'Income Statement'!$F$24</f>
        <v>94.9092117580713</v>
      </c>
      <c r="E36" s="94" t="n">
        <f aca="false">'Income Statement'!$G$24</f>
        <v>93.490004774643</v>
      </c>
    </row>
    <row r="37" customFormat="false" ht="12.75" hidden="false" customHeight="true" outlineLevel="0" collapsed="false">
      <c r="B37" s="458" t="s">
        <v>285</v>
      </c>
      <c r="C37" s="459" t="n">
        <f aca="false">C35/C36</f>
        <v>166.323293847456</v>
      </c>
      <c r="D37" s="459" t="n">
        <f aca="false">D35/D36</f>
        <v>188.51808404888</v>
      </c>
      <c r="E37" s="459" t="n">
        <f aca="false">E35/E36</f>
        <v>215.275808395802</v>
      </c>
    </row>
    <row r="38" customFormat="false" ht="12.75" hidden="false" customHeight="true" outlineLevel="0" collapsed="false">
      <c r="C38" s="124"/>
      <c r="D38" s="124"/>
      <c r="E38" s="124"/>
    </row>
    <row r="39" customFormat="false" ht="12.75" hidden="false" customHeight="true" outlineLevel="0" collapsed="false">
      <c r="C39" s="124"/>
      <c r="D39" s="124"/>
      <c r="E39" s="124"/>
    </row>
    <row r="41" customFormat="false" ht="12.75" hidden="false" customHeight="true" outlineLevel="0" collapsed="false">
      <c r="B41" s="448" t="s">
        <v>286</v>
      </c>
    </row>
    <row r="43" customFormat="false" ht="12.75" hidden="false" customHeight="true" outlineLevel="0" collapsed="false">
      <c r="B43" s="449" t="s">
        <v>277</v>
      </c>
      <c r="C43" s="450"/>
      <c r="D43" s="451" t="s">
        <v>278</v>
      </c>
      <c r="E43" s="450"/>
    </row>
    <row r="44" customFormat="false" ht="12.75" hidden="false" customHeight="true" outlineLevel="0" collapsed="false">
      <c r="C44" s="452" t="s">
        <v>279</v>
      </c>
      <c r="D44" s="452" t="s">
        <v>9</v>
      </c>
      <c r="E44" s="452" t="s">
        <v>10</v>
      </c>
    </row>
    <row r="45" customFormat="false" ht="12.75" hidden="false" customHeight="true" outlineLevel="0" collapsed="false">
      <c r="B45" s="65" t="s">
        <v>287</v>
      </c>
      <c r="C45" s="453" t="n">
        <f aca="false">M18</f>
        <v>15.6616951151264</v>
      </c>
      <c r="D45" s="453" t="n">
        <f aca="false">N18</f>
        <v>18.29249630208</v>
      </c>
      <c r="E45" s="453" t="n">
        <f aca="false">O18</f>
        <v>18.01408315392</v>
      </c>
    </row>
    <row r="46" customFormat="false" ht="12.75" hidden="false" customHeight="true" outlineLevel="0" collapsed="false">
      <c r="B46" s="65" t="s">
        <v>288</v>
      </c>
      <c r="C46" s="454" t="n">
        <f aca="false">'Income Statement'!E10</f>
        <v>1201.1653231428</v>
      </c>
      <c r="D46" s="454" t="n">
        <f aca="false">'Income Statement'!F10</f>
        <v>1153.88268386726</v>
      </c>
      <c r="E46" s="454" t="n">
        <f aca="false">'Income Statement'!G10</f>
        <v>1346.21623369573</v>
      </c>
    </row>
    <row r="47" customFormat="false" ht="12.75" hidden="false" customHeight="true" outlineLevel="0" collapsed="false">
      <c r="B47" s="455" t="s">
        <v>251</v>
      </c>
      <c r="C47" s="456" t="n">
        <f aca="false">C46*C45</f>
        <v>18812.2850739248</v>
      </c>
      <c r="D47" s="456" t="n">
        <f aca="false">D46*D45</f>
        <v>21107.3947276761</v>
      </c>
      <c r="E47" s="456" t="n">
        <f aca="false">E46*E45</f>
        <v>24250.8511769519</v>
      </c>
    </row>
    <row r="49" customFormat="false" ht="12.75" hidden="false" customHeight="true" outlineLevel="0" collapsed="false">
      <c r="B49" s="2" t="s">
        <v>282</v>
      </c>
      <c r="C49" s="457" t="n">
        <f aca="false">'Balance Sheet'!$E$38</f>
        <v>1736</v>
      </c>
      <c r="D49" s="457" t="n">
        <f aca="false">'Balance Sheet'!$F$38</f>
        <v>1485.46929983026</v>
      </c>
      <c r="E49" s="457" t="n">
        <f aca="false">'Balance Sheet'!$G$38</f>
        <v>1273.18130564534</v>
      </c>
    </row>
    <row r="50" customFormat="false" ht="12.75" hidden="false" customHeight="true" outlineLevel="0" collapsed="false">
      <c r="B50" s="2" t="s">
        <v>51</v>
      </c>
      <c r="C50" s="457" t="n">
        <f aca="false">'Balance Sheet'!$E$7</f>
        <v>48.7132671456037</v>
      </c>
      <c r="D50" s="457" t="n">
        <f aca="false">'Balance Sheet'!$F$7</f>
        <v>30.0000000000002</v>
      </c>
      <c r="E50" s="457" t="n">
        <f aca="false">'Balance Sheet'!$G$7</f>
        <v>-1.32094012287916</v>
      </c>
    </row>
    <row r="51" customFormat="false" ht="12.75" hidden="false" customHeight="true" outlineLevel="0" collapsed="false">
      <c r="B51" s="2" t="s">
        <v>52</v>
      </c>
      <c r="C51" s="457" t="n">
        <f aca="false">'Balance Sheet'!$E$8</f>
        <v>60</v>
      </c>
      <c r="D51" s="457" t="n">
        <f aca="false">'Balance Sheet'!$F$8</f>
        <v>70</v>
      </c>
      <c r="E51" s="457" t="n">
        <f aca="false">'Balance Sheet'!$G$8</f>
        <v>80</v>
      </c>
    </row>
    <row r="52" customFormat="false" ht="12.75" hidden="false" customHeight="true" outlineLevel="0" collapsed="false">
      <c r="B52" s="2" t="s">
        <v>57</v>
      </c>
      <c r="C52" s="457" t="n">
        <f aca="false">'Balance Sheet'!$E$14</f>
        <v>200</v>
      </c>
      <c r="D52" s="457" t="n">
        <f aca="false">'Balance Sheet'!$F$14</f>
        <v>220</v>
      </c>
      <c r="E52" s="457" t="n">
        <f aca="false">'Balance Sheet'!$G$14</f>
        <v>240</v>
      </c>
    </row>
    <row r="53" customFormat="false" ht="12.75" hidden="false" customHeight="true" outlineLevel="0" collapsed="false">
      <c r="B53" s="186" t="s">
        <v>283</v>
      </c>
      <c r="C53" s="455" t="n">
        <f aca="false">C47+C50-C49+C51+C52</f>
        <v>17384.9983410704</v>
      </c>
      <c r="D53" s="455" t="n">
        <f aca="false">D47+D50-D49+D51+D52</f>
        <v>19941.9254278458</v>
      </c>
      <c r="E53" s="455" t="n">
        <f aca="false">E47+E50-E49+E51+E52</f>
        <v>23296.3489311837</v>
      </c>
    </row>
    <row r="54" customFormat="false" ht="12.75" hidden="false" customHeight="true" outlineLevel="0" collapsed="false">
      <c r="B54" s="2" t="s">
        <v>284</v>
      </c>
      <c r="C54" s="94" t="n">
        <f aca="false">'Income Statement'!$E$24</f>
        <v>96.6156896551724</v>
      </c>
      <c r="D54" s="94" t="n">
        <f aca="false">'Income Statement'!$F$24</f>
        <v>94.9092117580713</v>
      </c>
      <c r="E54" s="94" t="n">
        <f aca="false">'Income Statement'!$G$24</f>
        <v>93.490004774643</v>
      </c>
    </row>
    <row r="55" customFormat="false" ht="12.75" hidden="false" customHeight="true" outlineLevel="0" collapsed="false">
      <c r="B55" s="458" t="s">
        <v>285</v>
      </c>
      <c r="C55" s="459" t="n">
        <f aca="false">C53/C54</f>
        <v>179.939701337522</v>
      </c>
      <c r="D55" s="459" t="n">
        <f aca="false">D53/D54</f>
        <v>210.115804972428</v>
      </c>
      <c r="E55" s="459" t="n">
        <f aca="false">E53/E54</f>
        <v>249.185450223683</v>
      </c>
    </row>
    <row r="56" customFormat="false" ht="12.75" hidden="false" customHeight="true" outlineLevel="0" collapsed="false">
      <c r="C56" s="124"/>
      <c r="D56" s="124"/>
      <c r="E56" s="124"/>
    </row>
    <row r="57" customFormat="false" ht="12.75" hidden="false" customHeight="true" outlineLevel="0" collapsed="false">
      <c r="C57" s="124"/>
      <c r="D57" s="124"/>
      <c r="E57" s="124"/>
    </row>
    <row r="58" customFormat="false" ht="12.75" hidden="false" customHeight="true" outlineLevel="0" collapsed="false">
      <c r="B58" s="448" t="s">
        <v>289</v>
      </c>
    </row>
    <row r="60" customFormat="false" ht="12.75" hidden="false" customHeight="true" outlineLevel="0" collapsed="false">
      <c r="B60" s="449" t="s">
        <v>277</v>
      </c>
      <c r="C60" s="450"/>
      <c r="D60" s="451" t="s">
        <v>278</v>
      </c>
      <c r="E60" s="450"/>
    </row>
    <row r="61" customFormat="false" ht="12.75" hidden="false" customHeight="true" outlineLevel="0" collapsed="false">
      <c r="C61" s="452" t="s">
        <v>279</v>
      </c>
      <c r="D61" s="452" t="s">
        <v>9</v>
      </c>
      <c r="E61" s="452" t="s">
        <v>10</v>
      </c>
    </row>
    <row r="62" customFormat="false" ht="12.75" hidden="false" customHeight="true" outlineLevel="0" collapsed="false">
      <c r="B62" s="65" t="s">
        <v>290</v>
      </c>
      <c r="C62" s="453" t="n">
        <f aca="false">Q18</f>
        <v>21.255157656243</v>
      </c>
      <c r="D62" s="453" t="n">
        <f aca="false">R18</f>
        <v>29.43946944</v>
      </c>
      <c r="E62" s="453" t="n">
        <f aca="false">S18</f>
        <v>30.182326272</v>
      </c>
    </row>
    <row r="63" customFormat="false" ht="12.75" hidden="false" customHeight="true" outlineLevel="0" collapsed="false">
      <c r="B63" s="65" t="s">
        <v>291</v>
      </c>
      <c r="C63" s="460" t="n">
        <f aca="false">'Income Statement'!E26</f>
        <v>7.66236754599779</v>
      </c>
      <c r="D63" s="460" t="n">
        <f aca="false">'Income Statement'!F26</f>
        <v>7.32502895070271</v>
      </c>
      <c r="E63" s="460" t="n">
        <f aca="false">'Income Statement'!G26</f>
        <v>8.80773569039582</v>
      </c>
    </row>
    <row r="64" customFormat="false" ht="12.75" hidden="false" customHeight="true" outlineLevel="0" collapsed="false">
      <c r="B64" s="458" t="s">
        <v>285</v>
      </c>
      <c r="C64" s="459" t="n">
        <f aca="false">C62*C63</f>
        <v>162.864830210263</v>
      </c>
      <c r="D64" s="459" t="n">
        <f aca="false">D62*D63</f>
        <v>215.644965941328</v>
      </c>
      <c r="E64" s="459" t="n">
        <f aca="false">E62*E63</f>
        <v>265.837952325066</v>
      </c>
    </row>
    <row r="65" customFormat="false" ht="12.75" hidden="false" customHeight="true" outlineLevel="0" collapsed="false">
      <c r="C65" s="124"/>
      <c r="D65" s="124"/>
      <c r="E65" s="124"/>
    </row>
    <row r="66" customFormat="false" ht="12.75" hidden="false" customHeight="true" outlineLevel="0" collapsed="false">
      <c r="C66" s="124"/>
      <c r="D66" s="124"/>
      <c r="E66" s="124"/>
    </row>
  </sheetData>
  <mergeCells count="6">
    <mergeCell ref="I3:K3"/>
    <mergeCell ref="M3:O3"/>
    <mergeCell ref="Q3:S3"/>
    <mergeCell ref="I4:K4"/>
    <mergeCell ref="M4:O4"/>
    <mergeCell ref="Q4:S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52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4A2C"/>
    <pageSetUpPr fitToPage="false"/>
  </sheetPr>
  <dimension ref="A1:P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8" activeCellId="0" sqref="D48"/>
    </sheetView>
  </sheetViews>
  <sheetFormatPr defaultColWidth="9.109375" defaultRowHeight="12.75" zeroHeight="false" outlineLevelRow="0" outlineLevelCol="0"/>
  <cols>
    <col collapsed="false" customWidth="true" hidden="false" outlineLevel="0" max="1" min="1" style="226" width="3"/>
    <col collapsed="false" customWidth="true" hidden="false" outlineLevel="0" max="2" min="2" style="226" width="34"/>
    <col collapsed="false" customWidth="true" hidden="false" outlineLevel="0" max="3" min="3" style="226" width="17.44"/>
    <col collapsed="false" customWidth="true" hidden="false" outlineLevel="0" max="4" min="4" style="226" width="24.88"/>
    <col collapsed="false" customWidth="true" hidden="false" outlineLevel="0" max="7" min="5" style="226" width="13.88"/>
    <col collapsed="false" customWidth="true" hidden="false" outlineLevel="0" max="8" min="8" style="226" width="14.67"/>
    <col collapsed="false" customWidth="true" hidden="false" outlineLevel="0" max="15" min="9" style="226" width="15.56"/>
    <col collapsed="false" customWidth="false" hidden="false" outlineLevel="0" max="16384" min="16" style="226" width="9.11"/>
  </cols>
  <sheetData>
    <row r="1" s="2" customFormat="true" ht="21.75" hidden="false" customHeight="true" outlineLevel="0" collapsed="false">
      <c r="A1" s="461" t="s">
        <v>0</v>
      </c>
    </row>
    <row r="2" s="2" customFormat="true" ht="18" hidden="false" customHeight="true" outlineLevel="0" collapsed="false">
      <c r="B2" s="462" t="s">
        <v>292</v>
      </c>
      <c r="C2" s="5"/>
      <c r="D2" s="5"/>
      <c r="E2" s="5"/>
      <c r="F2" s="5"/>
      <c r="G2" s="5"/>
      <c r="H2" s="5"/>
      <c r="I2" s="5"/>
      <c r="J2" s="5"/>
    </row>
    <row r="3" s="2" customFormat="true" ht="12.75" hidden="false" customHeight="true" outlineLevel="0" collapsed="false">
      <c r="B3" s="7"/>
      <c r="C3" s="8" t="s">
        <v>3</v>
      </c>
      <c r="D3" s="8"/>
      <c r="E3" s="8"/>
      <c r="F3" s="9" t="s">
        <v>4</v>
      </c>
      <c r="G3" s="9"/>
      <c r="H3" s="9"/>
      <c r="I3" s="9"/>
      <c r="J3" s="9"/>
    </row>
    <row r="4" s="2" customFormat="true" ht="12.75" hidden="false" customHeight="true" outlineLevel="0" collapsed="false">
      <c r="B4" s="463" t="s">
        <v>5</v>
      </c>
      <c r="C4" s="12" t="s">
        <v>293</v>
      </c>
      <c r="D4" s="12" t="s">
        <v>294</v>
      </c>
      <c r="E4" s="13" t="s">
        <v>295</v>
      </c>
      <c r="F4" s="14" t="s">
        <v>9</v>
      </c>
      <c r="G4" s="14" t="s">
        <v>10</v>
      </c>
      <c r="H4" s="14" t="s">
        <v>11</v>
      </c>
      <c r="I4" s="14" t="s">
        <v>12</v>
      </c>
      <c r="J4" s="14" t="s">
        <v>13</v>
      </c>
    </row>
    <row r="5" s="2" customFormat="true" ht="12.75" hidden="false" customHeight="true" outlineLevel="0" collapsed="false">
      <c r="B5" s="153"/>
      <c r="C5" s="464"/>
      <c r="D5" s="464"/>
      <c r="E5" s="464"/>
      <c r="F5" s="464"/>
      <c r="G5" s="464"/>
      <c r="H5" s="464"/>
      <c r="I5" s="464"/>
      <c r="J5" s="464"/>
    </row>
    <row r="6" s="2" customFormat="true" ht="12.75" hidden="false" customHeight="true" outlineLevel="0" collapsed="false">
      <c r="B6" s="2" t="s">
        <v>27</v>
      </c>
      <c r="C6" s="465"/>
      <c r="D6" s="465"/>
      <c r="E6" s="465"/>
      <c r="F6" s="466" t="n">
        <f aca="false">'Income Statement'!F14</f>
        <v>989.053576096095</v>
      </c>
      <c r="G6" s="466" t="n">
        <f aca="false">'Income Statement'!G14</f>
        <v>1149.52210636941</v>
      </c>
      <c r="H6" s="466" t="n">
        <f aca="false">'Income Statement'!H14</f>
        <v>1337.18363761773</v>
      </c>
      <c r="I6" s="466" t="n">
        <f aca="false">'Income Statement'!I14</f>
        <v>1556.68395738866</v>
      </c>
      <c r="J6" s="466" t="n">
        <f aca="false">'Income Statement'!J14</f>
        <v>1813.46694166873</v>
      </c>
    </row>
    <row r="7" s="2" customFormat="true" ht="12.75" hidden="false" customHeight="true" outlineLevel="0" collapsed="false">
      <c r="C7" s="465"/>
      <c r="D7" s="465"/>
      <c r="E7" s="465"/>
      <c r="F7" s="467"/>
      <c r="G7" s="467"/>
      <c r="H7" s="467"/>
      <c r="I7" s="467"/>
      <c r="J7" s="467"/>
    </row>
    <row r="8" s="2" customFormat="true" ht="12.75" hidden="false" customHeight="true" outlineLevel="0" collapsed="false">
      <c r="B8" s="2" t="s">
        <v>296</v>
      </c>
      <c r="C8" s="465"/>
      <c r="D8" s="465"/>
      <c r="E8" s="465"/>
      <c r="F8" s="467"/>
      <c r="G8" s="467"/>
      <c r="H8" s="467"/>
      <c r="I8" s="467"/>
      <c r="J8" s="467"/>
    </row>
    <row r="9" s="2" customFormat="true" ht="12.75" hidden="false" customHeight="true" outlineLevel="0" collapsed="false">
      <c r="B9" s="2" t="s">
        <v>297</v>
      </c>
      <c r="C9" s="465"/>
      <c r="D9" s="465"/>
      <c r="E9" s="465"/>
      <c r="F9" s="466" t="n">
        <f aca="false">F6*(1-'Income Statement'!F23)</f>
        <v>741.790182072071</v>
      </c>
      <c r="G9" s="466" t="n">
        <f aca="false">G6*(1-'Income Statement'!G23)</f>
        <v>862.141579777059</v>
      </c>
      <c r="H9" s="466" t="n">
        <f aca="false">H6*(1-'Income Statement'!H23)</f>
        <v>1002.8877282133</v>
      </c>
      <c r="I9" s="466" t="n">
        <f aca="false">I6*(1-'Income Statement'!I23)</f>
        <v>1167.51296804149</v>
      </c>
      <c r="J9" s="466" t="n">
        <f aca="false">J6*(1-'Income Statement'!J23)</f>
        <v>1360.10020625155</v>
      </c>
    </row>
    <row r="10" s="2" customFormat="true" ht="12.75" hidden="false" customHeight="true" outlineLevel="0" collapsed="false">
      <c r="B10" s="2" t="s">
        <v>298</v>
      </c>
      <c r="C10" s="465"/>
      <c r="D10" s="465"/>
      <c r="E10" s="465"/>
      <c r="F10" s="466" t="n">
        <f aca="false">'Income Statement'!F12</f>
        <v>151.533134974646</v>
      </c>
      <c r="G10" s="466" t="n">
        <f aca="false">'Income Statement'!G12</f>
        <v>179.555137096012</v>
      </c>
      <c r="H10" s="466" t="n">
        <f aca="false">'Income Statement'!H12</f>
        <v>212.238587880868</v>
      </c>
      <c r="I10" s="466" t="n">
        <f aca="false">'Income Statement'!I12</f>
        <v>250.370730096443</v>
      </c>
      <c r="J10" s="466" t="n">
        <f aca="false">'Income Statement'!J12</f>
        <v>294.873162372172</v>
      </c>
    </row>
    <row r="11" s="2" customFormat="true" ht="12.75" hidden="false" customHeight="true" outlineLevel="0" collapsed="false">
      <c r="B11" s="2" t="s">
        <v>112</v>
      </c>
      <c r="C11" s="465"/>
      <c r="D11" s="465"/>
      <c r="E11" s="465"/>
      <c r="F11" s="466" t="n">
        <f aca="false">'Income Statement'!F13</f>
        <v>13.2959727965229</v>
      </c>
      <c r="G11" s="466" t="n">
        <f aca="false">'Income Statement'!G13</f>
        <v>17.1389902303102</v>
      </c>
      <c r="H11" s="466" t="n">
        <f aca="false">'Income Statement'!H13</f>
        <v>21.6212920522334</v>
      </c>
      <c r="I11" s="466" t="n">
        <f aca="false">'Income Statement'!I13</f>
        <v>26.8508429846551</v>
      </c>
      <c r="J11" s="466" t="n">
        <f aca="false">'Income Statement'!J13</f>
        <v>32.954033696755</v>
      </c>
    </row>
    <row r="12" s="2" customFormat="true" ht="12.75" hidden="false" customHeight="true" outlineLevel="0" collapsed="false">
      <c r="B12" s="2" t="s">
        <v>299</v>
      </c>
      <c r="C12" s="465"/>
      <c r="D12" s="465"/>
      <c r="E12" s="465"/>
      <c r="F12" s="466" t="n">
        <f aca="false">-'Depreciation Capex Forecast'!F18</f>
        <v>-288.397619695752</v>
      </c>
      <c r="G12" s="466" t="n">
        <f aca="false">-'Depreciation Capex Forecast'!G18</f>
        <v>-336.26402545639</v>
      </c>
      <c r="H12" s="466" t="n">
        <f aca="false">-'Depreciation Capex Forecast'!H18</f>
        <v>-392.201409418277</v>
      </c>
      <c r="I12" s="466" t="n">
        <f aca="false">-'Depreciation Capex Forecast'!I18</f>
        <v>-457.5857065869</v>
      </c>
      <c r="J12" s="466" t="n">
        <f aca="false">-'Depreciation Capex Forecast'!J18</f>
        <v>-534.029187308741</v>
      </c>
    </row>
    <row r="13" s="2" customFormat="true" ht="12.75" hidden="false" customHeight="true" outlineLevel="0" collapsed="false">
      <c r="B13" s="2" t="s">
        <v>300</v>
      </c>
      <c r="C13" s="465"/>
      <c r="D13" s="465"/>
      <c r="E13" s="465"/>
      <c r="F13" s="466" t="n">
        <f aca="false">'Cash Flow Statement'!F23</f>
        <v>-32.9597279652288</v>
      </c>
      <c r="G13" s="466" t="n">
        <f aca="false">'Cash Flow Statement'!G23</f>
        <v>-38.4301743378731</v>
      </c>
      <c r="H13" s="466" t="n">
        <f aca="false">'Cash Flow Statement'!H23</f>
        <v>-44.8230182192317</v>
      </c>
      <c r="I13" s="466" t="n">
        <f aca="false">'Cash Flow Statement'!I23</f>
        <v>-52.2955093242171</v>
      </c>
      <c r="J13" s="466" t="n">
        <f aca="false">'Cash Flow Statement'!J23</f>
        <v>-61.031907120999</v>
      </c>
    </row>
    <row r="14" s="2" customFormat="true" ht="12.75" hidden="false" customHeight="true" outlineLevel="0" collapsed="false">
      <c r="B14" s="2" t="s">
        <v>301</v>
      </c>
      <c r="C14" s="465"/>
      <c r="D14" s="465"/>
      <c r="E14" s="465"/>
      <c r="F14" s="466" t="n">
        <f aca="false">SUM('Cash Flow Statement'!F10:F15)</f>
        <v>31.1485624708799</v>
      </c>
      <c r="G14" s="466" t="n">
        <f aca="false">SUM('Cash Flow Statement'!G10:G15)</f>
        <v>-61.7369800264342</v>
      </c>
      <c r="H14" s="466" t="n">
        <f aca="false">SUM('Cash Flow Statement'!H10:H15)</f>
        <v>-72.1525990208461</v>
      </c>
      <c r="I14" s="466" t="n">
        <f aca="false">SUM('Cash Flow Statement'!I10:I15)</f>
        <v>-84.3441362364853</v>
      </c>
      <c r="J14" s="466" t="n">
        <f aca="false">SUM('Cash Flow Statement'!J10:J15)</f>
        <v>-98.6165880407121</v>
      </c>
    </row>
    <row r="15" s="2" customFormat="true" ht="12.75" hidden="false" customHeight="true" outlineLevel="0" collapsed="false">
      <c r="B15" s="468" t="s">
        <v>302</v>
      </c>
      <c r="C15" s="469"/>
      <c r="D15" s="469"/>
      <c r="E15" s="469"/>
      <c r="F15" s="470" t="n">
        <f aca="false">SUM(F9:F14)</f>
        <v>616.410504653139</v>
      </c>
      <c r="G15" s="470" t="n">
        <f aca="false">SUM(G9:G14)</f>
        <v>622.404527282684</v>
      </c>
      <c r="H15" s="470" t="n">
        <f aca="false">SUM(H9:H14)</f>
        <v>727.570581488043</v>
      </c>
      <c r="I15" s="470" t="n">
        <f aca="false">SUM(I9:I14)</f>
        <v>850.509188974987</v>
      </c>
      <c r="J15" s="470" t="n">
        <f aca="false">SUM(J9:J14)</f>
        <v>994.249719850021</v>
      </c>
    </row>
    <row r="16" s="2" customFormat="true" ht="12.75" hidden="false" customHeight="true" outlineLevel="0" collapsed="false">
      <c r="B16" s="153"/>
      <c r="C16" s="464"/>
      <c r="D16" s="464"/>
      <c r="E16" s="464"/>
      <c r="F16" s="464"/>
      <c r="G16" s="464"/>
      <c r="H16" s="464"/>
      <c r="I16" s="464"/>
      <c r="J16" s="464"/>
    </row>
    <row r="17" s="2" customFormat="true" ht="12.75" hidden="false" customHeight="true" outlineLevel="0" collapsed="false">
      <c r="B17" s="153"/>
      <c r="C17" s="464"/>
      <c r="D17" s="464"/>
      <c r="E17" s="464"/>
      <c r="F17" s="464"/>
      <c r="G17" s="464"/>
      <c r="H17" s="464"/>
      <c r="I17" s="464"/>
      <c r="J17" s="464"/>
    </row>
    <row r="18" customFormat="false" ht="12.75" hidden="false" customHeight="true" outlineLevel="0" collapsed="false">
      <c r="A18" s="2"/>
      <c r="B18" s="471" t="s">
        <v>303</v>
      </c>
      <c r="C18" s="472" t="n">
        <f aca="false">'Cost of Capital Calculation'!G37</f>
        <v>0.0575416688144659</v>
      </c>
      <c r="D18" s="473"/>
      <c r="E18" s="473"/>
      <c r="F18" s="473"/>
      <c r="G18" s="473"/>
      <c r="H18" s="473"/>
      <c r="I18" s="473"/>
      <c r="J18" s="473"/>
      <c r="K18" s="473"/>
      <c r="L18" s="473"/>
      <c r="M18" s="473"/>
      <c r="N18" s="473"/>
      <c r="O18" s="473"/>
      <c r="P18" s="2"/>
    </row>
    <row r="19" customFormat="false" ht="12.75" hidden="false" customHeight="true" outlineLevel="0" collapsed="false">
      <c r="A19" s="2"/>
      <c r="B19" s="474" t="s">
        <v>304</v>
      </c>
      <c r="C19" s="254" t="n">
        <v>0.01</v>
      </c>
      <c r="D19" s="2"/>
      <c r="E19" s="2"/>
      <c r="F19" s="473"/>
      <c r="G19" s="473"/>
      <c r="H19" s="473"/>
      <c r="I19" s="473"/>
      <c r="J19" s="473"/>
      <c r="K19" s="473"/>
      <c r="L19" s="473"/>
      <c r="M19" s="473"/>
      <c r="N19" s="473"/>
      <c r="O19" s="473"/>
      <c r="P19" s="2"/>
    </row>
    <row r="20" customFormat="false" ht="12.75" hidden="false" customHeight="true" outlineLevel="0" collapsed="false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customFormat="false" ht="12.75" hidden="false" customHeight="true" outlineLevel="0" collapsed="false">
      <c r="A21" s="2"/>
      <c r="B21" s="65" t="s">
        <v>305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customFormat="false" ht="12.75" hidden="false" customHeight="true" outlineLevel="0" collapsed="false">
      <c r="A22" s="2"/>
      <c r="B22" s="2" t="s">
        <v>306</v>
      </c>
      <c r="C22" s="2"/>
      <c r="D22" s="2"/>
      <c r="E22" s="2"/>
      <c r="F22" s="475" t="str">
        <f aca="false">F4</f>
        <v>Forecast 1</v>
      </c>
      <c r="G22" s="475" t="str">
        <f aca="false">G4</f>
        <v>Forecast 2</v>
      </c>
      <c r="H22" s="475" t="str">
        <f aca="false">H4</f>
        <v>Forecast 3</v>
      </c>
      <c r="I22" s="475" t="str">
        <f aca="false">I4</f>
        <v>Forecast 4</v>
      </c>
      <c r="J22" s="475" t="str">
        <f aca="false">J4</f>
        <v>Forecast 5</v>
      </c>
      <c r="K22" s="2"/>
      <c r="L22" s="2"/>
      <c r="M22" s="2"/>
      <c r="N22" s="2"/>
      <c r="O22" s="2"/>
      <c r="P22" s="2"/>
    </row>
    <row r="23" customFormat="false" ht="12.75" hidden="false" customHeight="true" outlineLevel="0" collapsed="false">
      <c r="A23" s="2"/>
      <c r="B23" s="2" t="s">
        <v>307</v>
      </c>
      <c r="C23" s="2"/>
      <c r="D23" s="2"/>
      <c r="E23" s="2"/>
      <c r="F23" s="47" t="n">
        <f aca="false">F15</f>
        <v>616.410504653139</v>
      </c>
      <c r="G23" s="47" t="n">
        <f aca="false">G15</f>
        <v>622.404527282684</v>
      </c>
      <c r="H23" s="47" t="n">
        <f aca="false">H15</f>
        <v>727.570581488043</v>
      </c>
      <c r="I23" s="47" t="n">
        <f aca="false">I15</f>
        <v>850.509188974987</v>
      </c>
      <c r="J23" s="47" t="n">
        <f aca="false">J15</f>
        <v>994.249719850021</v>
      </c>
      <c r="K23" s="2"/>
      <c r="L23" s="2"/>
      <c r="M23" s="2"/>
      <c r="N23" s="2"/>
      <c r="O23" s="2"/>
      <c r="P23" s="2"/>
    </row>
    <row r="24" customFormat="false" ht="12.75" hidden="false" customHeight="true" outlineLevel="0" collapsed="false">
      <c r="A24" s="2"/>
      <c r="B24" s="2" t="s">
        <v>308</v>
      </c>
      <c r="C24" s="476" t="n">
        <f aca="false">NPV(C18,F23:J23)</f>
        <v>3186.14530263759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customFormat="false" ht="12.7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customFormat="false" ht="12.75" hidden="false" customHeight="true" outlineLevel="0" collapsed="false">
      <c r="A26" s="2"/>
      <c r="B26" s="2" t="s">
        <v>309</v>
      </c>
      <c r="C26" s="2"/>
      <c r="D26" s="2"/>
      <c r="E26" s="2"/>
      <c r="F26" s="475" t="str">
        <f aca="false">F22</f>
        <v>Forecast 1</v>
      </c>
      <c r="G26" s="475" t="str">
        <f aca="false">G22</f>
        <v>Forecast 2</v>
      </c>
      <c r="H26" s="475" t="str">
        <f aca="false">H22</f>
        <v>Forecast 3</v>
      </c>
      <c r="I26" s="475" t="str">
        <f aca="false">I22</f>
        <v>Forecast 4</v>
      </c>
      <c r="J26" s="475" t="str">
        <f aca="false">J22</f>
        <v>Forecast 5</v>
      </c>
      <c r="K26" s="2"/>
      <c r="L26" s="2"/>
      <c r="M26" s="2"/>
      <c r="N26" s="2"/>
      <c r="O26" s="2"/>
      <c r="P26" s="2"/>
    </row>
    <row r="27" customFormat="false" ht="12.75" hidden="false" customHeight="true" outlineLevel="0" collapsed="false">
      <c r="A27" s="2"/>
      <c r="B27" s="2" t="s">
        <v>310</v>
      </c>
      <c r="C27" s="2"/>
      <c r="D27" s="2"/>
      <c r="E27" s="2"/>
      <c r="F27" s="306" t="n">
        <v>0</v>
      </c>
      <c r="G27" s="306" t="n">
        <v>0</v>
      </c>
      <c r="H27" s="306" t="n">
        <v>0</v>
      </c>
      <c r="I27" s="306" t="n">
        <v>0</v>
      </c>
      <c r="J27" s="156" t="n">
        <f aca="false">J23*((1+C19)/(C18-C19))</f>
        <v>21122.3594394097</v>
      </c>
      <c r="K27" s="2"/>
      <c r="L27" s="2"/>
      <c r="M27" s="2"/>
      <c r="N27" s="2"/>
      <c r="O27" s="2"/>
      <c r="P27" s="2"/>
    </row>
    <row r="28" customFormat="false" ht="12.75" hidden="false" customHeight="true" outlineLevel="0" collapsed="false">
      <c r="A28" s="2"/>
      <c r="B28" s="2" t="s">
        <v>311</v>
      </c>
      <c r="C28" s="476" t="n">
        <f aca="false">NPV(C18,F27:J27)</f>
        <v>15968.1641108302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customFormat="false" ht="12.7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customFormat="false" ht="12.75" hidden="false" customHeight="true" outlineLevel="0" collapsed="false">
      <c r="A30" s="2"/>
      <c r="B30" s="477" t="s">
        <v>312</v>
      </c>
      <c r="C30" s="161" t="s">
        <v>313</v>
      </c>
      <c r="D30" s="161" t="s">
        <v>314</v>
      </c>
      <c r="E30" s="161" t="s">
        <v>314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customFormat="false" ht="12.75" hidden="false" customHeight="true" outlineLevel="0" collapsed="false">
      <c r="A31" s="2"/>
      <c r="B31" s="2" t="s">
        <v>308</v>
      </c>
      <c r="C31" s="45" t="n">
        <f aca="false">C24</f>
        <v>3186.14530263759</v>
      </c>
      <c r="D31" s="45" t="n">
        <f aca="false">NPV(C18,G23:J23)</f>
        <v>2753.07091578359</v>
      </c>
      <c r="E31" s="45" t="n">
        <f aca="false">NPV(C18,H23:J23)</f>
        <v>2289.08268335966</v>
      </c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customFormat="false" ht="12.75" hidden="false" customHeight="true" outlineLevel="0" collapsed="false">
      <c r="A32" s="2"/>
      <c r="B32" s="2" t="s">
        <v>311</v>
      </c>
      <c r="C32" s="45" t="n">
        <f aca="false">C28</f>
        <v>15968.1641108302</v>
      </c>
      <c r="D32" s="45" t="n">
        <f aca="false">NPV(C18,G27:J27)</f>
        <v>16886.9989216706</v>
      </c>
      <c r="E32" s="45" t="n">
        <f aca="false">NPV(D18,H27:J27)</f>
        <v>21122.3594394097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customFormat="false" ht="12.75" hidden="false" customHeight="true" outlineLevel="0" collapsed="false">
      <c r="A33" s="2"/>
      <c r="B33" s="2" t="s">
        <v>315</v>
      </c>
      <c r="C33" s="45" t="n">
        <f aca="false">SUM(C31:C32)</f>
        <v>19154.3094134678</v>
      </c>
      <c r="D33" s="45" t="n">
        <f aca="false">SUM(D31:D32)</f>
        <v>19640.0698374542</v>
      </c>
      <c r="E33" s="45" t="n">
        <f aca="false">SUM(E31:E32)</f>
        <v>23411.4421227693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customFormat="false" ht="12.75" hidden="false" customHeight="true" outlineLevel="0" collapsed="false">
      <c r="A34" s="2"/>
      <c r="B34" s="2" t="s">
        <v>316</v>
      </c>
      <c r="C34" s="45" t="n">
        <f aca="false">'Balance Sheet'!E7</f>
        <v>48.7132671456037</v>
      </c>
      <c r="D34" s="45" t="n">
        <f aca="false">'Balance Sheet'!F7</f>
        <v>30.0000000000002</v>
      </c>
      <c r="E34" s="45" t="n">
        <f aca="false">'Balance Sheet'!G7</f>
        <v>-1.32094012287916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customFormat="false" ht="12.75" hidden="false" customHeight="true" outlineLevel="0" collapsed="false">
      <c r="A35" s="2"/>
      <c r="B35" s="2" t="s">
        <v>317</v>
      </c>
      <c r="C35" s="45" t="n">
        <f aca="false">'Balance Sheet'!E38</f>
        <v>1736</v>
      </c>
      <c r="D35" s="45" t="n">
        <f aca="false">'Balance Sheet'!F38</f>
        <v>1485.46929983026</v>
      </c>
      <c r="E35" s="45" t="n">
        <f aca="false">'Balance Sheet'!G38</f>
        <v>1273.18130564534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customFormat="false" ht="12.75" hidden="false" customHeight="true" outlineLevel="0" collapsed="false">
      <c r="A36" s="2"/>
      <c r="B36" s="2" t="s">
        <v>318</v>
      </c>
      <c r="C36" s="45" t="n">
        <f aca="false">C33+C34-C35</f>
        <v>17467.0226806134</v>
      </c>
      <c r="D36" s="45" t="n">
        <f aca="false">D33+D34-D35</f>
        <v>18184.600537624</v>
      </c>
      <c r="E36" s="45" t="n">
        <f aca="false">E33+E34-E35</f>
        <v>22136.9398770011</v>
      </c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customFormat="false" ht="12.75" hidden="false" customHeight="true" outlineLevel="0" collapsed="false">
      <c r="A37" s="2"/>
      <c r="B37" s="2" t="s">
        <v>319</v>
      </c>
      <c r="C37" s="45" t="n">
        <f aca="false">'Balance Sheet'!E14+'Balance Sheet'!E8</f>
        <v>260</v>
      </c>
      <c r="D37" s="45" t="n">
        <f aca="false">'Balance Sheet'!F14+'Balance Sheet'!F8</f>
        <v>290</v>
      </c>
      <c r="E37" s="45" t="n">
        <f aca="false">'Balance Sheet'!G14+'Balance Sheet'!G8</f>
        <v>320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customFormat="false" ht="12.75" hidden="false" customHeight="true" outlineLevel="0" collapsed="false">
      <c r="A38" s="2"/>
      <c r="B38" s="266" t="s">
        <v>320</v>
      </c>
      <c r="C38" s="45" t="n">
        <f aca="false">C36+C37</f>
        <v>17727.0226806134</v>
      </c>
      <c r="D38" s="45" t="n">
        <f aca="false">D36+D37</f>
        <v>18474.600537624</v>
      </c>
      <c r="E38" s="45" t="n">
        <f aca="false">E36+E37</f>
        <v>22456.9398770011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customFormat="false" ht="12.75" hidden="false" customHeight="true" outlineLevel="0" collapsed="false">
      <c r="A39" s="2"/>
      <c r="B39" s="65" t="s">
        <v>321</v>
      </c>
      <c r="C39" s="45" t="n">
        <f aca="false">'Income Statement'!E24</f>
        <v>96.6156896551724</v>
      </c>
      <c r="D39" s="45" t="n">
        <f aca="false">'Income Statement'!F24</f>
        <v>94.9092117580713</v>
      </c>
      <c r="E39" s="45" t="n">
        <f aca="false">'Income Statement'!G24</f>
        <v>93.490004774643</v>
      </c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customFormat="false" ht="12.75" hidden="false" customHeight="true" outlineLevel="0" collapsed="false">
      <c r="A40" s="2"/>
      <c r="B40" s="65"/>
      <c r="C40" s="37"/>
      <c r="D40" s="37"/>
      <c r="E40" s="37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customFormat="false" ht="12.75" hidden="false" customHeight="true" outlineLevel="0" collapsed="false">
      <c r="A41" s="2"/>
      <c r="B41" s="408" t="s">
        <v>207</v>
      </c>
      <c r="C41" s="267" t="n">
        <f aca="false">C38/C39</f>
        <v>183.479750999887</v>
      </c>
      <c r="D41" s="267" t="n">
        <f aca="false">D38/D39</f>
        <v>194.65550493367</v>
      </c>
      <c r="E41" s="267" t="n">
        <f aca="false">E38/E39</f>
        <v>240.206853461323</v>
      </c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customFormat="false" ht="12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customFormat="false" ht="12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customFormat="false" ht="12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customFormat="false" ht="12.75" hidden="false" customHeight="true" outlineLevel="0" collapsed="false">
      <c r="A45" s="2"/>
      <c r="B45" s="2"/>
      <c r="C45" s="478"/>
      <c r="D45" s="2"/>
      <c r="E45" s="479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customFormat="false" ht="13.5" hidden="false" customHeight="true" outlineLevel="0" collapsed="false">
      <c r="A46" s="2"/>
      <c r="B46" s="2"/>
      <c r="C46" s="2"/>
      <c r="D46" s="480" t="s">
        <v>322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customFormat="false" ht="21.75" hidden="false" customHeight="true" outlineLevel="0" collapsed="false">
      <c r="A47" s="2"/>
      <c r="B47" s="2"/>
      <c r="C47" s="2"/>
      <c r="D47" s="2"/>
      <c r="E47" s="481" t="s">
        <v>101</v>
      </c>
      <c r="F47" s="481"/>
      <c r="G47" s="481"/>
      <c r="H47" s="481"/>
      <c r="I47" s="481"/>
      <c r="J47" s="2"/>
      <c r="K47" s="2"/>
      <c r="L47" s="2"/>
      <c r="M47" s="2"/>
      <c r="N47" s="2"/>
      <c r="O47" s="2"/>
      <c r="P47" s="2"/>
    </row>
    <row r="48" customFormat="false" ht="12.75" hidden="false" customHeight="true" outlineLevel="0" collapsed="false">
      <c r="A48" s="2"/>
      <c r="B48" s="2"/>
      <c r="C48" s="2"/>
      <c r="D48" s="482" t="n">
        <f aca="false">D41</f>
        <v>194.65550493367</v>
      </c>
      <c r="E48" s="483" t="n">
        <f aca="false">F48-1%</f>
        <v>0.044</v>
      </c>
      <c r="F48" s="484" t="n">
        <f aca="false">G48-1%</f>
        <v>0.054</v>
      </c>
      <c r="G48" s="484" t="n">
        <v>0.064</v>
      </c>
      <c r="H48" s="484" t="n">
        <f aca="false">G48+1%</f>
        <v>0.074</v>
      </c>
      <c r="I48" s="484" t="n">
        <f aca="false">H48+1%</f>
        <v>0.084</v>
      </c>
      <c r="J48" s="2"/>
      <c r="K48" s="2"/>
      <c r="L48" s="2"/>
      <c r="M48" s="2"/>
      <c r="N48" s="2"/>
      <c r="O48" s="2"/>
      <c r="P48" s="2"/>
    </row>
    <row r="49" customFormat="false" ht="15" hidden="false" customHeight="true" outlineLevel="0" collapsed="false">
      <c r="A49" s="2"/>
      <c r="B49" s="2"/>
      <c r="C49" s="485" t="s">
        <v>323</v>
      </c>
      <c r="D49" s="486" t="n">
        <v>0.005</v>
      </c>
      <c r="E49" s="45" t="n">
        <f aca="true">TABLE($D$48,$C$19,$D49,$C$18,E$48)</f>
        <v>244.969660149143</v>
      </c>
      <c r="F49" s="47" t="n">
        <f aca="true">TABLE($D$48,$C$19,$D49,$C$18,F$48)</f>
        <v>191.082682413112</v>
      </c>
      <c r="G49" s="47" t="n">
        <f aca="true">TABLE($D$48,$C$19,$D49,$C$18,G$48)</f>
        <v>155.498934929931</v>
      </c>
      <c r="H49" s="47" t="n">
        <f aca="true">TABLE($D$48,$C$19,$D49,$C$18,H$48)</f>
        <v>130.259182294065</v>
      </c>
      <c r="I49" s="25" t="n">
        <f aca="true">TABLE($D$48,$C$19,$D49,$C$18,I$48)</f>
        <v>111.434240692652</v>
      </c>
      <c r="J49" s="2"/>
      <c r="K49" s="2"/>
      <c r="L49" s="2"/>
      <c r="M49" s="2"/>
      <c r="N49" s="2"/>
      <c r="O49" s="2"/>
      <c r="P49" s="2"/>
    </row>
    <row r="50" customFormat="false" ht="12.75" hidden="false" customHeight="true" outlineLevel="0" collapsed="false">
      <c r="A50" s="2"/>
      <c r="B50" s="2"/>
      <c r="C50" s="485"/>
      <c r="D50" s="486" t="n">
        <v>0.0075</v>
      </c>
      <c r="E50" s="45" t="n">
        <f aca="true">TABLE($D$48,$C$19,$D50,$C$18,E$48)</f>
        <v>261.138101363986</v>
      </c>
      <c r="F50" s="47" t="n">
        <f aca="true">TABLE($D$48,$C$19,$D50,$C$18,F$48)</f>
        <v>200.899172987307</v>
      </c>
      <c r="G50" s="47" t="n">
        <f aca="true">TABLE($D$48,$C$19,$D50,$C$18,G$48)</f>
        <v>162.021250028627</v>
      </c>
      <c r="H50" s="47" t="n">
        <f aca="true">TABLE($D$48,$C$19,$D50,$C$18,H$48)</f>
        <v>134.866450971748</v>
      </c>
      <c r="I50" s="47" t="n">
        <f aca="true">TABLE($D$48,$C$19,$D50,$C$18,I$48)</f>
        <v>114.836369453617</v>
      </c>
      <c r="J50" s="2"/>
      <c r="K50" s="2"/>
      <c r="L50" s="2"/>
      <c r="M50" s="2"/>
      <c r="N50" s="2"/>
      <c r="O50" s="2"/>
      <c r="P50" s="2"/>
    </row>
    <row r="51" customFormat="false" ht="12.75" hidden="false" customHeight="true" outlineLevel="0" collapsed="false">
      <c r="A51" s="2"/>
      <c r="B51" s="2"/>
      <c r="C51" s="485"/>
      <c r="D51" s="486" t="n">
        <v>0.01</v>
      </c>
      <c r="E51" s="45" t="n">
        <f aca="true">TABLE($D$48,$C$19,$D51,$C$18,E$48)</f>
        <v>279.684254522188</v>
      </c>
      <c r="F51" s="47" t="n">
        <f aca="true">TABLE($D$48,$C$19,$D51,$C$18,F$48)</f>
        <v>211.831173854024</v>
      </c>
      <c r="G51" s="267" t="n">
        <f aca="true">TABLE($D$48,$C$19,$D51,$C$18,G$48)</f>
        <v>169.147483192018</v>
      </c>
      <c r="H51" s="47" t="n">
        <f aca="true">TABLE($D$48,$C$19,$D51,$C$18,H$48)</f>
        <v>139.833662514876</v>
      </c>
      <c r="I51" s="47" t="n">
        <f aca="true">TABLE($D$48,$C$19,$D51,$C$18,I$48)</f>
        <v>118.468371779513</v>
      </c>
      <c r="J51" s="2"/>
      <c r="K51" s="2"/>
      <c r="L51" s="2"/>
      <c r="M51" s="2"/>
      <c r="N51" s="2"/>
      <c r="O51" s="2"/>
      <c r="P51" s="2"/>
    </row>
    <row r="52" customFormat="false" ht="12.75" hidden="false" customHeight="true" outlineLevel="0" collapsed="false">
      <c r="A52" s="2"/>
      <c r="B52" s="2"/>
      <c r="C52" s="485"/>
      <c r="D52" s="486" t="n">
        <v>0.0125</v>
      </c>
      <c r="E52" s="45" t="n">
        <f aca="true">TABLE($D$48,$C$19,$D52,$C$18,E$48)</f>
        <v>301.174241515024</v>
      </c>
      <c r="F52" s="47" t="n">
        <f aca="true">TABLE($D$48,$C$19,$D52,$C$18,F$48)</f>
        <v>224.0802832589</v>
      </c>
      <c r="G52" s="47" t="n">
        <f aca="true">TABLE($D$48,$C$19,$D52,$C$18,G$48)</f>
        <v>176.965583652825</v>
      </c>
      <c r="H52" s="47" t="n">
        <f aca="true">TABLE($D$48,$C$19,$D52,$C$18,H$48)</f>
        <v>145.204712394843</v>
      </c>
      <c r="I52" s="47" t="n">
        <f aca="true">TABLE($D$48,$C$19,$D52,$C$18,I$48)</f>
        <v>122.354360282044</v>
      </c>
      <c r="J52" s="2"/>
      <c r="K52" s="2"/>
      <c r="L52" s="2"/>
      <c r="M52" s="2"/>
      <c r="N52" s="2"/>
      <c r="O52" s="2"/>
      <c r="P52" s="2"/>
    </row>
    <row r="53" customFormat="false" ht="12.75" hidden="false" customHeight="true" outlineLevel="0" collapsed="false">
      <c r="A53" s="2"/>
      <c r="B53" s="2"/>
      <c r="C53" s="485"/>
      <c r="D53" s="486" t="n">
        <v>0.015</v>
      </c>
      <c r="E53" s="45" t="n">
        <f aca="true">TABLE($D$48,$C$19,$D53,$C$18,E$48)</f>
        <v>326.36939867904</v>
      </c>
      <c r="F53" s="47" t="n">
        <f aca="true">TABLE($D$48,$C$19,$D53,$C$18,F$48)</f>
        <v>237.899791305426</v>
      </c>
      <c r="G53" s="47" t="n">
        <f aca="true">TABLE($D$48,$C$19,$D53,$C$18,G$48)</f>
        <v>185.581449466775</v>
      </c>
      <c r="H53" s="47" t="n">
        <f aca="true">TABLE($D$48,$C$19,$D53,$C$18,H$48)</f>
        <v>151.030935993452</v>
      </c>
      <c r="I53" s="47" t="n">
        <f aca="true">TABLE($D$48,$C$19,$D53,$C$18,I$48)</f>
        <v>126.521942154323</v>
      </c>
      <c r="J53" s="2"/>
      <c r="K53" s="2"/>
      <c r="L53" s="2"/>
      <c r="M53" s="2"/>
      <c r="N53" s="2"/>
      <c r="O53" s="2"/>
      <c r="P53" s="2"/>
    </row>
    <row r="54" customFormat="false" ht="12.75" hidden="false" customHeight="true" outlineLevel="0" collapsed="false">
      <c r="A54" s="2"/>
      <c r="B54" s="2"/>
      <c r="C54" s="485"/>
      <c r="D54" s="486" t="n">
        <v>0.0175</v>
      </c>
      <c r="E54" s="25" t="n">
        <f aca="true">TABLE($D$48,$C$19,$D54,$C$18,E$48)</f>
        <v>356.31835908155</v>
      </c>
      <c r="F54" s="47" t="n">
        <f aca="true">TABLE($D$48,$C$19,$D54,$C$18,F$48)</f>
        <v>253.612382645998</v>
      </c>
      <c r="G54" s="47" t="n">
        <f aca="true">TABLE($D$48,$C$19,$D54,$C$18,G$48)</f>
        <v>195.123752465022</v>
      </c>
      <c r="H54" s="47" t="n">
        <f aca="true">TABLE($D$48,$C$19,$D54,$C$18,H$48)</f>
        <v>157.372754600787</v>
      </c>
      <c r="I54" s="47" t="n">
        <f aca="true">TABLE($D$48,$C$19,$D54,$C$18,I$48)</f>
        <v>131.002876047075</v>
      </c>
      <c r="J54" s="2"/>
      <c r="K54" s="2"/>
      <c r="L54" s="2"/>
      <c r="M54" s="2"/>
      <c r="N54" s="2"/>
      <c r="O54" s="2"/>
      <c r="P54" s="2"/>
    </row>
    <row r="55" customFormat="false" ht="12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customFormat="false" ht="12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customFormat="false" ht="12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customFormat="false" ht="12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</sheetData>
  <mergeCells count="4">
    <mergeCell ref="C3:E3"/>
    <mergeCell ref="F3:J3"/>
    <mergeCell ref="E47:I47"/>
    <mergeCell ref="C49:C5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E"/>
    <pageSetUpPr fitToPage="false"/>
  </sheetPr>
  <dimension ref="A1:J56"/>
  <sheetViews>
    <sheetView showFormulas="false" showGridLines="false" showRowColHeaders="true" showZeros="true" rightToLeft="false" tabSelected="false" showOutlineSymbols="true" defaultGridColor="true" view="normal" topLeftCell="A23" colorId="64" zoomScale="115" zoomScaleNormal="115" zoomScalePageLayoutView="100" workbookViewId="0">
      <selection pane="topLeft" activeCell="G38" activeCellId="0" sqref="G38"/>
    </sheetView>
  </sheetViews>
  <sheetFormatPr defaultColWidth="9.109375" defaultRowHeight="12.75" zeroHeight="false" outlineLevelRow="0" outlineLevelCol="0"/>
  <cols>
    <col collapsed="false" customWidth="true" hidden="false" outlineLevel="0" max="1" min="1" style="226" width="3"/>
    <col collapsed="false" customWidth="true" hidden="false" outlineLevel="0" max="2" min="2" style="226" width="34"/>
    <col collapsed="false" customWidth="true" hidden="false" outlineLevel="0" max="3" min="3" style="226" width="21.56"/>
    <col collapsed="false" customWidth="true" hidden="false" outlineLevel="0" max="4" min="4" style="226" width="24.88"/>
    <col collapsed="false" customWidth="true" hidden="false" outlineLevel="0" max="5" min="5" style="226" width="13.88"/>
    <col collapsed="false" customWidth="true" hidden="false" outlineLevel="0" max="6" min="6" style="226" width="22"/>
    <col collapsed="false" customWidth="true" hidden="false" outlineLevel="0" max="7" min="7" style="226" width="26.44"/>
    <col collapsed="false" customWidth="true" hidden="false" outlineLevel="0" max="8" min="8" style="226" width="14.67"/>
    <col collapsed="false" customWidth="true" hidden="false" outlineLevel="0" max="15" min="9" style="226" width="15.56"/>
    <col collapsed="false" customWidth="false" hidden="false" outlineLevel="0" max="16384" min="16" style="226" width="9.11"/>
  </cols>
  <sheetData>
    <row r="1" s="2" customFormat="true" ht="21.75" hidden="false" customHeight="true" outlineLevel="0" collapsed="false">
      <c r="A1" s="487" t="s">
        <v>0</v>
      </c>
    </row>
    <row r="2" s="2" customFormat="true" ht="18" hidden="false" customHeight="true" outlineLevel="0" collapsed="false">
      <c r="A2" s="488"/>
      <c r="B2" s="489" t="s">
        <v>324</v>
      </c>
    </row>
    <row r="3" s="2" customFormat="true" ht="12.75" hidden="false" customHeight="true" outlineLevel="0" collapsed="false">
      <c r="A3" s="488"/>
    </row>
    <row r="4" s="2" customFormat="true" ht="12.75" hidden="false" customHeight="true" outlineLevel="0" collapsed="false">
      <c r="A4" s="488"/>
      <c r="D4" s="2" t="s">
        <v>325</v>
      </c>
    </row>
    <row r="5" s="2" customFormat="true" ht="12.75" hidden="false" customHeight="true" outlineLevel="0" collapsed="false">
      <c r="A5" s="488"/>
      <c r="D5" s="2" t="s">
        <v>326</v>
      </c>
    </row>
    <row r="6" s="2" customFormat="true" ht="12.75" hidden="false" customHeight="true" outlineLevel="0" collapsed="false">
      <c r="A6" s="488"/>
      <c r="D6" s="2" t="s">
        <v>327</v>
      </c>
    </row>
    <row r="7" s="2" customFormat="true" ht="12.75" hidden="false" customHeight="true" outlineLevel="0" collapsed="false">
      <c r="A7" s="488"/>
      <c r="D7" s="2" t="s">
        <v>328</v>
      </c>
    </row>
    <row r="8" s="2" customFormat="true" ht="12.75" hidden="false" customHeight="true" outlineLevel="0" collapsed="false">
      <c r="A8" s="488"/>
      <c r="D8" s="2" t="s">
        <v>329</v>
      </c>
    </row>
    <row r="9" s="2" customFormat="true" ht="12.75" hidden="false" customHeight="true" outlineLevel="0" collapsed="false">
      <c r="A9" s="488"/>
      <c r="D9" s="2" t="s">
        <v>330</v>
      </c>
    </row>
    <row r="10" s="2" customFormat="true" ht="12.75" hidden="false" customHeight="true" outlineLevel="0" collapsed="false">
      <c r="A10" s="488"/>
    </row>
    <row r="11" s="2" customFormat="true" ht="12.75" hidden="false" customHeight="true" outlineLevel="0" collapsed="false">
      <c r="A11" s="488"/>
    </row>
    <row r="12" s="2" customFormat="true" ht="12.75" hidden="false" customHeight="true" outlineLevel="0" collapsed="false">
      <c r="A12" s="488"/>
    </row>
    <row r="13" s="2" customFormat="true" ht="12.75" hidden="false" customHeight="true" outlineLevel="0" collapsed="false">
      <c r="A13" s="488"/>
    </row>
    <row r="14" s="2" customFormat="true" ht="12.75" hidden="false" customHeight="true" outlineLevel="0" collapsed="false">
      <c r="A14" s="488"/>
    </row>
    <row r="15" s="2" customFormat="true" ht="12.75" hidden="false" customHeight="true" outlineLevel="0" collapsed="false">
      <c r="A15" s="488"/>
      <c r="B15" s="406" t="s">
        <v>331</v>
      </c>
    </row>
    <row r="16" s="2" customFormat="true" ht="12.75" hidden="false" customHeight="true" outlineLevel="0" collapsed="false">
      <c r="A16" s="488"/>
    </row>
    <row r="17" s="2" customFormat="true" ht="12.75" hidden="false" customHeight="true" outlineLevel="0" collapsed="false">
      <c r="A17" s="488"/>
      <c r="B17" s="65" t="s">
        <v>332</v>
      </c>
    </row>
    <row r="18" s="2" customFormat="true" ht="12.75" hidden="false" customHeight="true" outlineLevel="0" collapsed="false">
      <c r="A18" s="488"/>
    </row>
    <row r="19" s="2" customFormat="true" ht="12.75" hidden="false" customHeight="true" outlineLevel="0" collapsed="false">
      <c r="A19" s="488"/>
      <c r="B19" s="490" t="s">
        <v>333</v>
      </c>
    </row>
    <row r="20" s="2" customFormat="true" ht="12.75" hidden="false" customHeight="true" outlineLevel="0" collapsed="false">
      <c r="A20" s="488"/>
      <c r="B20" s="2" t="s">
        <v>334</v>
      </c>
    </row>
    <row r="21" s="2" customFormat="true" ht="12.75" hidden="false" customHeight="true" outlineLevel="0" collapsed="false">
      <c r="A21" s="488"/>
      <c r="B21" s="2" t="s">
        <v>335</v>
      </c>
    </row>
    <row r="22" s="2" customFormat="true" ht="12.75" hidden="false" customHeight="true" outlineLevel="0" collapsed="false">
      <c r="A22" s="488"/>
    </row>
    <row r="23" s="2" customFormat="true" ht="12.75" hidden="false" customHeight="true" outlineLevel="0" collapsed="false">
      <c r="A23" s="488"/>
      <c r="B23" s="65" t="s">
        <v>336</v>
      </c>
      <c r="C23" s="491" t="n">
        <v>0.0068</v>
      </c>
    </row>
    <row r="24" s="2" customFormat="true" ht="12.75" hidden="false" customHeight="true" outlineLevel="0" collapsed="false">
      <c r="A24" s="488"/>
    </row>
    <row r="25" s="2" customFormat="true" ht="12.75" hidden="false" customHeight="true" outlineLevel="0" collapsed="false">
      <c r="A25" s="488"/>
      <c r="B25" s="65" t="s">
        <v>337</v>
      </c>
    </row>
    <row r="26" s="2" customFormat="true" ht="12.75" hidden="false" customHeight="true" outlineLevel="0" collapsed="false">
      <c r="A26" s="488"/>
      <c r="B26" s="2" t="s">
        <v>338</v>
      </c>
    </row>
    <row r="27" s="2" customFormat="true" ht="12.75" hidden="false" customHeight="true" outlineLevel="0" collapsed="false">
      <c r="A27" s="488"/>
      <c r="B27" s="2" t="s">
        <v>339</v>
      </c>
      <c r="C27" s="491" t="n">
        <v>0.0523</v>
      </c>
    </row>
    <row r="28" s="2" customFormat="true" ht="12.75" hidden="false" customHeight="true" outlineLevel="0" collapsed="false">
      <c r="A28" s="488"/>
    </row>
    <row r="29" s="2" customFormat="true" ht="12.75" hidden="false" customHeight="true" outlineLevel="0" collapsed="false">
      <c r="A29" s="488"/>
      <c r="B29" s="2" t="s">
        <v>282</v>
      </c>
      <c r="C29" s="37" t="n">
        <f aca="false">'Balance Sheet'!E38</f>
        <v>1736</v>
      </c>
      <c r="F29" s="492" t="s">
        <v>340</v>
      </c>
      <c r="G29" s="493"/>
    </row>
    <row r="30" s="2" customFormat="true" ht="12.75" hidden="false" customHeight="true" outlineLevel="0" collapsed="false">
      <c r="A30" s="488"/>
      <c r="B30" s="2" t="s">
        <v>341</v>
      </c>
      <c r="C30" s="37" t="n">
        <f aca="false">'Balance Sheet'!E47</f>
        <v>1419.4132671456</v>
      </c>
      <c r="F30" s="494" t="s">
        <v>342</v>
      </c>
      <c r="G30" s="495" t="n">
        <f aca="false">C23</f>
        <v>0.0068</v>
      </c>
    </row>
    <row r="31" s="2" customFormat="true" ht="12.75" hidden="false" customHeight="true" outlineLevel="0" collapsed="false">
      <c r="A31" s="488"/>
      <c r="B31" s="496" t="s">
        <v>343</v>
      </c>
      <c r="C31" s="497" t="n">
        <f aca="false">SUM(C29:C30)</f>
        <v>3155.4132671456</v>
      </c>
      <c r="D31" s="498"/>
      <c r="F31" s="494" t="s">
        <v>344</v>
      </c>
      <c r="G31" s="495" t="n">
        <f aca="false">C27</f>
        <v>0.0523</v>
      </c>
    </row>
    <row r="32" s="2" customFormat="true" ht="12.75" hidden="false" customHeight="true" outlineLevel="0" collapsed="false">
      <c r="A32" s="488"/>
      <c r="D32" s="499"/>
      <c r="F32" s="494" t="s">
        <v>345</v>
      </c>
      <c r="G32" s="500" t="n">
        <f aca="false">'Beta Calculation'!H5</f>
        <v>1.7435234603556</v>
      </c>
    </row>
    <row r="33" s="2" customFormat="true" ht="12.75" hidden="false" customHeight="true" outlineLevel="0" collapsed="false">
      <c r="A33" s="488"/>
      <c r="C33" s="139"/>
      <c r="D33" s="499"/>
      <c r="F33" s="494" t="s">
        <v>346</v>
      </c>
      <c r="G33" s="501" t="n">
        <f aca="false">G30+G32*G31</f>
        <v>0.0979862769765981</v>
      </c>
    </row>
    <row r="34" s="2" customFormat="true" ht="12.75" hidden="false" customHeight="true" outlineLevel="0" collapsed="false">
      <c r="A34" s="488"/>
      <c r="B34" s="2" t="s">
        <v>347</v>
      </c>
      <c r="C34" s="139" t="n">
        <f aca="false">C30/C31</f>
        <v>0.449834347191424</v>
      </c>
      <c r="D34" s="502"/>
      <c r="F34" s="494" t="s">
        <v>348</v>
      </c>
      <c r="G34" s="495" t="n">
        <f aca="false">C39</f>
        <v>0.0329024767801858</v>
      </c>
    </row>
    <row r="35" s="2" customFormat="true" ht="12.75" hidden="false" customHeight="true" outlineLevel="0" collapsed="false">
      <c r="A35" s="488"/>
      <c r="B35" s="2" t="s">
        <v>349</v>
      </c>
      <c r="C35" s="503" t="n">
        <f aca="false">C29/C31</f>
        <v>0.550165652808576</v>
      </c>
      <c r="D35" s="499"/>
      <c r="F35" s="494" t="s">
        <v>350</v>
      </c>
      <c r="G35" s="495" t="n">
        <f aca="false">'Income Statement'!E23</f>
        <v>0.256202891831311</v>
      </c>
    </row>
    <row r="36" s="2" customFormat="true" ht="12.75" hidden="false" customHeight="true" outlineLevel="0" collapsed="false">
      <c r="A36" s="488"/>
      <c r="F36" s="494" t="s">
        <v>351</v>
      </c>
      <c r="G36" s="501" t="n">
        <f aca="false">G34*(1-G35)</f>
        <v>0.0244727670806896</v>
      </c>
    </row>
    <row r="37" s="2" customFormat="true" ht="12.75" hidden="false" customHeight="true" outlineLevel="0" collapsed="false">
      <c r="A37" s="488"/>
      <c r="B37" s="2" t="s">
        <v>352</v>
      </c>
      <c r="C37" s="2" t="n">
        <f aca="false">AVERAGE('Balance Sheet'!D38:E38)</f>
        <v>1938</v>
      </c>
      <c r="F37" s="504" t="s">
        <v>101</v>
      </c>
      <c r="G37" s="505" t="n">
        <f aca="false">(C34*G33)+(C35*G36)</f>
        <v>0.0575416688144659</v>
      </c>
    </row>
    <row r="38" s="2" customFormat="true" ht="12.75" hidden="false" customHeight="true" outlineLevel="0" collapsed="false">
      <c r="A38" s="488"/>
      <c r="B38" s="2" t="s">
        <v>353</v>
      </c>
      <c r="C38" s="506" t="n">
        <f aca="false">'Income Statement'!E16</f>
        <v>63.765</v>
      </c>
    </row>
    <row r="39" s="2" customFormat="true" ht="12.75" hidden="false" customHeight="true" outlineLevel="0" collapsed="false">
      <c r="A39" s="488"/>
      <c r="B39" s="65" t="s">
        <v>354</v>
      </c>
      <c r="C39" s="491" t="n">
        <f aca="false">C38/C37</f>
        <v>0.0329024767801858</v>
      </c>
    </row>
    <row r="40" s="2" customFormat="true" ht="12.75" hidden="false" customHeight="true" outlineLevel="0" collapsed="false">
      <c r="A40" s="488"/>
    </row>
    <row r="41" s="2" customFormat="true" ht="12.75" hidden="false" customHeight="true" outlineLevel="0" collapsed="false">
      <c r="A41" s="488"/>
    </row>
    <row r="42" s="2" customFormat="true" ht="12.75" hidden="false" customHeight="true" outlineLevel="0" collapsed="false">
      <c r="A42" s="488"/>
    </row>
    <row r="43" s="2" customFormat="true" ht="12.75" hidden="false" customHeight="true" outlineLevel="0" collapsed="false">
      <c r="A43" s="488"/>
    </row>
    <row r="44" s="2" customFormat="true" ht="12.75" hidden="false" customHeight="true" outlineLevel="0" collapsed="false">
      <c r="A44" s="488"/>
    </row>
    <row r="45" s="2" customFormat="true" ht="12.75" hidden="false" customHeight="true" outlineLevel="0" collapsed="false">
      <c r="A45" s="488"/>
    </row>
    <row r="46" s="2" customFormat="true" ht="12.75" hidden="false" customHeight="true" outlineLevel="0" collapsed="false">
      <c r="A46" s="488"/>
    </row>
    <row r="47" s="2" customFormat="true" ht="12.75" hidden="false" customHeight="true" outlineLevel="0" collapsed="false">
      <c r="A47" s="488"/>
    </row>
    <row r="48" s="2" customFormat="true" ht="12.75" hidden="false" customHeight="true" outlineLevel="0" collapsed="false">
      <c r="A48" s="488"/>
    </row>
    <row r="49" s="2" customFormat="true" ht="12.75" hidden="false" customHeight="true" outlineLevel="0" collapsed="false">
      <c r="A49" s="488"/>
    </row>
    <row r="50" s="2" customFormat="true" ht="12.75" hidden="false" customHeight="true" outlineLevel="0" collapsed="false">
      <c r="A50" s="488"/>
      <c r="D50" s="503"/>
    </row>
    <row r="51" s="2" customFormat="true" ht="12.75" hidden="false" customHeight="true" outlineLevel="0" collapsed="false">
      <c r="A51" s="488"/>
      <c r="D51" s="503"/>
    </row>
    <row r="52" s="2" customFormat="true" ht="12.75" hidden="false" customHeight="true" outlineLevel="0" collapsed="false">
      <c r="A52" s="488"/>
      <c r="D52" s="503"/>
    </row>
    <row r="53" s="2" customFormat="true" ht="12.75" hidden="false" customHeight="true" outlineLevel="0" collapsed="false">
      <c r="A53" s="488"/>
      <c r="D53" s="503"/>
    </row>
    <row r="54" s="2" customFormat="true" ht="12.75" hidden="false" customHeight="true" outlineLevel="0" collapsed="false">
      <c r="A54" s="488"/>
      <c r="D54" s="503"/>
    </row>
    <row r="55" s="2" customFormat="true" ht="12.75" hidden="false" customHeight="true" outlineLevel="0" collapsed="false">
      <c r="A55" s="488"/>
    </row>
    <row r="56" s="2" customFormat="true" ht="12.75" hidden="false" customHeight="true" outlineLevel="0" collapsed="false">
      <c r="C56" s="5"/>
      <c r="D56" s="5"/>
      <c r="E56" s="5"/>
      <c r="F56" s="5"/>
      <c r="G56" s="5"/>
      <c r="H56" s="5"/>
      <c r="I56" s="5"/>
      <c r="J56" s="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E1423"/>
    <pageSetUpPr fitToPage="false"/>
  </sheetPr>
  <dimension ref="A1:K716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H7" activeCellId="0" sqref="H7"/>
    </sheetView>
  </sheetViews>
  <sheetFormatPr defaultColWidth="8.6796875" defaultRowHeight="14.25" zeroHeight="false" outlineLevelRow="0" outlineLevelCol="0"/>
  <cols>
    <col collapsed="false" customWidth="true" hidden="false" outlineLevel="0" max="1" min="1" style="507" width="3"/>
    <col collapsed="false" customWidth="true" hidden="false" outlineLevel="0" max="2" min="2" style="507" width="34"/>
    <col collapsed="false" customWidth="true" hidden="false" outlineLevel="0" max="3" min="3" style="507" width="12.44"/>
    <col collapsed="false" customWidth="true" hidden="false" outlineLevel="0" max="4" min="4" style="507" width="13"/>
    <col collapsed="false" customWidth="true" hidden="false" outlineLevel="0" max="5" min="5" style="507" width="13.11"/>
    <col collapsed="false" customWidth="true" hidden="false" outlineLevel="0" max="6" min="6" style="0" width="13"/>
    <col collapsed="false" customWidth="true" hidden="false" outlineLevel="0" max="7" min="7" style="507" width="14.67"/>
    <col collapsed="false" customWidth="true" hidden="false" outlineLevel="0" max="10" min="8" style="0" width="13"/>
  </cols>
  <sheetData>
    <row r="1" customFormat="false" ht="21.75" hidden="false" customHeight="true" outlineLevel="0" collapsed="false">
      <c r="A1" s="508"/>
      <c r="B1" s="509" t="s">
        <v>355</v>
      </c>
      <c r="C1" s="510" t="s">
        <v>356</v>
      </c>
      <c r="D1" s="509" t="s">
        <v>357</v>
      </c>
      <c r="E1" s="510" t="s">
        <v>358</v>
      </c>
    </row>
    <row r="2" customFormat="false" ht="18" hidden="false" customHeight="true" outlineLevel="0" collapsed="false">
      <c r="A2" s="509" t="s">
        <v>359</v>
      </c>
      <c r="B2" s="509" t="s">
        <v>360</v>
      </c>
      <c r="C2" s="510"/>
      <c r="D2" s="509" t="s">
        <v>360</v>
      </c>
      <c r="E2" s="510"/>
    </row>
    <row r="3" customFormat="false" ht="14.25" hidden="false" customHeight="true" outlineLevel="0" collapsed="false">
      <c r="A3" s="511" t="n">
        <v>43047</v>
      </c>
      <c r="B3" s="507" t="n">
        <v>2594.379883</v>
      </c>
      <c r="D3" s="512" t="n">
        <v>110</v>
      </c>
      <c r="K3" s="512"/>
    </row>
    <row r="4" customFormat="false" ht="14.25" hidden="false" customHeight="true" outlineLevel="0" collapsed="false">
      <c r="A4" s="513" t="n">
        <v>43048</v>
      </c>
      <c r="B4" s="514" t="n">
        <v>2584.620117</v>
      </c>
      <c r="C4" s="515" t="n">
        <f aca="false">(B4-B3)/B3</f>
        <v>-0.0037618877882735</v>
      </c>
      <c r="D4" s="516" t="n">
        <v>109.256778568467</v>
      </c>
      <c r="E4" s="515" t="n">
        <f aca="false">(D4-D3)/D3</f>
        <v>-0.00675655846848183</v>
      </c>
      <c r="G4" s="517"/>
      <c r="H4" s="517"/>
      <c r="I4" s="517"/>
    </row>
    <row r="5" customFormat="false" ht="14.25" hidden="false" customHeight="true" outlineLevel="0" collapsed="false">
      <c r="A5" s="511" t="n">
        <v>43049</v>
      </c>
      <c r="B5" s="507" t="n">
        <v>2582.300049</v>
      </c>
      <c r="C5" s="518" t="n">
        <f aca="false">(B5-B4)/B4</f>
        <v>-0.000897643713573244</v>
      </c>
      <c r="D5" s="512" t="n">
        <v>109.079927794483</v>
      </c>
      <c r="E5" s="518" t="n">
        <f aca="false">(D5-D4)/D4</f>
        <v>-0.00161867095388663</v>
      </c>
      <c r="G5" s="458" t="s">
        <v>361</v>
      </c>
      <c r="H5" s="458" t="n">
        <f aca="false">SLOPE(E4:E713,C4:C713)</f>
        <v>1.7435234603556</v>
      </c>
      <c r="I5" s="519"/>
    </row>
    <row r="6" customFormat="false" ht="14.25" hidden="false" customHeight="true" outlineLevel="0" collapsed="false">
      <c r="A6" s="513" t="n">
        <v>43052</v>
      </c>
      <c r="B6" s="514" t="n">
        <v>2584.840088</v>
      </c>
      <c r="C6" s="515" t="n">
        <f aca="false">(B6-B5)/B5</f>
        <v>0.000983634338303798</v>
      </c>
      <c r="D6" s="516" t="n">
        <v>109.25835506067</v>
      </c>
      <c r="E6" s="515" t="n">
        <f aca="false">(D6-D5)/D5</f>
        <v>0.00163574793084915</v>
      </c>
      <c r="G6" s="517"/>
      <c r="H6" s="517"/>
      <c r="I6" s="517"/>
    </row>
    <row r="7" customFormat="false" ht="14.25" hidden="false" customHeight="true" outlineLevel="0" collapsed="false">
      <c r="A7" s="511" t="n">
        <v>43053</v>
      </c>
      <c r="B7" s="507" t="n">
        <v>2578.870117</v>
      </c>
      <c r="C7" s="518" t="n">
        <f aca="false">(B7-B6)/B6</f>
        <v>-0.00230960941364044</v>
      </c>
      <c r="D7" s="512" t="n">
        <v>108.792001089756</v>
      </c>
      <c r="E7" s="518" t="n">
        <f aca="false">(D7-D6)/D6</f>
        <v>-0.00426835980328496</v>
      </c>
    </row>
    <row r="8" customFormat="false" ht="14.25" hidden="false" customHeight="true" outlineLevel="0" collapsed="false">
      <c r="A8" s="513" t="n">
        <v>43054</v>
      </c>
      <c r="B8" s="514" t="n">
        <v>2564.620117</v>
      </c>
      <c r="C8" s="515" t="n">
        <f aca="false">(B8-B7)/B7</f>
        <v>-0.0055256757236681</v>
      </c>
      <c r="D8" s="516" t="n">
        <v>107.822148491155</v>
      </c>
      <c r="E8" s="515" t="n">
        <f aca="false">(D8-D7)/D7</f>
        <v>-0.00891474179062891</v>
      </c>
    </row>
    <row r="9" customFormat="false" ht="14.25" hidden="false" customHeight="true" outlineLevel="0" collapsed="false">
      <c r="A9" s="511" t="n">
        <v>43055</v>
      </c>
      <c r="B9" s="507" t="n">
        <v>2585.639893</v>
      </c>
      <c r="C9" s="518" t="n">
        <f aca="false">(B9-B8)/B8</f>
        <v>0.00819605830144866</v>
      </c>
      <c r="D9" s="512" t="n">
        <v>109.291900337063</v>
      </c>
      <c r="E9" s="518" t="n">
        <f aca="false">(D9-D8)/D8</f>
        <v>0.0136312609837167</v>
      </c>
      <c r="G9" s="458" t="s">
        <v>362</v>
      </c>
      <c r="H9" s="458" t="n">
        <f aca="false">_xlfn.COVARIANCE.P(C3:C713,E3:E713)</f>
        <v>0.000377200831120624</v>
      </c>
    </row>
    <row r="10" customFormat="false" ht="14.25" hidden="false" customHeight="true" outlineLevel="0" collapsed="false">
      <c r="A10" s="513" t="n">
        <v>43056</v>
      </c>
      <c r="B10" s="514" t="n">
        <v>2578.850098</v>
      </c>
      <c r="C10" s="515" t="n">
        <f aca="false">(B10-B9)/B9</f>
        <v>-0.00262596311976075</v>
      </c>
      <c r="D10" s="516" t="n">
        <v>108.799498222273</v>
      </c>
      <c r="E10" s="515" t="n">
        <f aca="false">(D10-D9)/D9</f>
        <v>-0.00450538524146252</v>
      </c>
      <c r="G10" s="520" t="s">
        <v>363</v>
      </c>
      <c r="H10" s="458" t="n">
        <f aca="false">_xlfn.VAR.P(C4:C713)</f>
        <v>0.000216343995189884</v>
      </c>
    </row>
    <row r="11" customFormat="false" ht="14.25" hidden="false" customHeight="true" outlineLevel="0" collapsed="false">
      <c r="A11" s="511" t="n">
        <v>43059</v>
      </c>
      <c r="B11" s="507" t="n">
        <v>2582.139893</v>
      </c>
      <c r="C11" s="518" t="n">
        <f aca="false">(B11-B10)/B10</f>
        <v>0.00127568291098095</v>
      </c>
      <c r="D11" s="512" t="n">
        <v>109.05960438764</v>
      </c>
      <c r="E11" s="518" t="n">
        <f aca="false">(D11-D10)/D10</f>
        <v>0.00239069269267773</v>
      </c>
      <c r="G11" s="458" t="s">
        <v>364</v>
      </c>
      <c r="H11" s="458" t="n">
        <f aca="false">H9/H10</f>
        <v>1.74352346035561</v>
      </c>
    </row>
    <row r="12" customFormat="false" ht="14.25" hidden="false" customHeight="true" outlineLevel="0" collapsed="false">
      <c r="A12" s="513" t="n">
        <v>43060</v>
      </c>
      <c r="B12" s="514" t="n">
        <v>2599.030029</v>
      </c>
      <c r="C12" s="515" t="n">
        <f aca="false">(B12-B11)/B11</f>
        <v>0.0065411390164367</v>
      </c>
      <c r="D12" s="516" t="n">
        <v>110.349601597326</v>
      </c>
      <c r="E12" s="515" t="n">
        <f aca="false">(D12-D11)/D11</f>
        <v>0.0118283686881979</v>
      </c>
    </row>
    <row r="13" customFormat="false" ht="14.25" hidden="false" customHeight="true" outlineLevel="0" collapsed="false">
      <c r="A13" s="511" t="n">
        <v>43061</v>
      </c>
      <c r="B13" s="507" t="n">
        <v>2597.080078</v>
      </c>
      <c r="C13" s="518" t="n">
        <f aca="false">(B13-B12)/B12</f>
        <v>-0.000750261050562127</v>
      </c>
      <c r="D13" s="512" t="n">
        <v>110.197270805691</v>
      </c>
      <c r="E13" s="518" t="n">
        <f aca="false">(D13-D12)/D12</f>
        <v>-0.00138043807526249</v>
      </c>
    </row>
    <row r="14" customFormat="false" ht="14.25" hidden="false" customHeight="true" outlineLevel="0" collapsed="false">
      <c r="A14" s="513" t="n">
        <v>43063</v>
      </c>
      <c r="B14" s="514" t="n">
        <v>2602.419922</v>
      </c>
      <c r="C14" s="515" t="n">
        <f aca="false">(B14-B13)/B13</f>
        <v>0.00205609524528496</v>
      </c>
      <c r="D14" s="516" t="n">
        <v>110.621572965006</v>
      </c>
      <c r="E14" s="515" t="n">
        <f aca="false">(D14-D13)/D13</f>
        <v>0.00385038718484376</v>
      </c>
    </row>
    <row r="15" customFormat="false" ht="14.25" hidden="false" customHeight="true" outlineLevel="0" collapsed="false">
      <c r="A15" s="511" t="n">
        <v>43066</v>
      </c>
      <c r="B15" s="507" t="n">
        <v>2601.419922</v>
      </c>
      <c r="C15" s="518" t="n">
        <f aca="false">(B15-B14)/B14</f>
        <v>-0.000384257740861238</v>
      </c>
      <c r="D15" s="512" t="n">
        <v>110.544047643345</v>
      </c>
      <c r="E15" s="518" t="n">
        <f aca="false">(D15-D14)/D14</f>
        <v>-0.000700815578580898</v>
      </c>
    </row>
    <row r="16" customFormat="false" ht="14.25" hidden="false" customHeight="true" outlineLevel="0" collapsed="false">
      <c r="A16" s="513" t="n">
        <v>43067</v>
      </c>
      <c r="B16" s="514" t="n">
        <v>2627.040039</v>
      </c>
      <c r="C16" s="515" t="n">
        <f aca="false">(B16-B15)/B15</f>
        <v>0.00984851264624087</v>
      </c>
      <c r="D16" s="516" t="n">
        <v>112.309995586846</v>
      </c>
      <c r="E16" s="515" t="n">
        <f aca="false">(D16-D15)/D15</f>
        <v>0.0159750613547153</v>
      </c>
    </row>
    <row r="17" customFormat="false" ht="14.25" hidden="false" customHeight="true" outlineLevel="0" collapsed="false">
      <c r="A17" s="511" t="n">
        <v>43068</v>
      </c>
      <c r="B17" s="507" t="n">
        <v>2626.070068</v>
      </c>
      <c r="C17" s="518" t="n">
        <f aca="false">(B17-B16)/B16</f>
        <v>-0.00036922581521415</v>
      </c>
      <c r="D17" s="512" t="n">
        <v>112.240516319173</v>
      </c>
      <c r="E17" s="518" t="n">
        <f aca="false">(D17-D16)/D16</f>
        <v>-0.000618638326089835</v>
      </c>
    </row>
    <row r="18" customFormat="false" ht="14.25" hidden="false" customHeight="true" outlineLevel="0" collapsed="false">
      <c r="A18" s="513" t="n">
        <v>43069</v>
      </c>
      <c r="B18" s="514" t="n">
        <v>2647.580078</v>
      </c>
      <c r="C18" s="515" t="n">
        <f aca="false">(B18-B17)/B17</f>
        <v>0.00819095052417313</v>
      </c>
      <c r="D18" s="516" t="n">
        <v>113.750810081505</v>
      </c>
      <c r="E18" s="515" t="n">
        <f aca="false">(D18-D17)/D17</f>
        <v>0.0134558696971533</v>
      </c>
    </row>
    <row r="19" customFormat="false" ht="14.25" hidden="false" customHeight="true" outlineLevel="0" collapsed="false">
      <c r="A19" s="511" t="n">
        <v>43070</v>
      </c>
      <c r="B19" s="507" t="n">
        <v>2642.219971</v>
      </c>
      <c r="C19" s="518" t="n">
        <f aca="false">(B19-B18)/B18</f>
        <v>-0.00202453064386594</v>
      </c>
      <c r="D19" s="512" t="n">
        <v>113.315564349035</v>
      </c>
      <c r="E19" s="518" t="n">
        <f aca="false">(D19-D18)/D18</f>
        <v>-0.00382630886020179</v>
      </c>
    </row>
    <row r="20" customFormat="false" ht="14.25" hidden="false" customHeight="true" outlineLevel="0" collapsed="false">
      <c r="A20" s="513" t="n">
        <v>43073</v>
      </c>
      <c r="B20" s="514" t="n">
        <v>2639.439941</v>
      </c>
      <c r="C20" s="515" t="n">
        <f aca="false">(B20-B19)/B19</f>
        <v>-0.0010521569099138</v>
      </c>
      <c r="D20" s="516" t="n">
        <v>113.115115178291</v>
      </c>
      <c r="E20" s="515" t="n">
        <f aca="false">(D20-D19)/D19</f>
        <v>-0.00176894649817539</v>
      </c>
    </row>
    <row r="21" customFormat="false" ht="14.25" hidden="false" customHeight="true" outlineLevel="0" collapsed="false">
      <c r="A21" s="511" t="n">
        <v>43074</v>
      </c>
      <c r="B21" s="507" t="n">
        <v>2629.570068</v>
      </c>
      <c r="C21" s="518" t="n">
        <f aca="false">(B21-B20)/B20</f>
        <v>-0.00373938154329085</v>
      </c>
      <c r="D21" s="512" t="n">
        <v>112.340136056735</v>
      </c>
      <c r="E21" s="518" t="n">
        <f aca="false">(D21-D20)/D20</f>
        <v>-0.00685124282757867</v>
      </c>
    </row>
    <row r="22" customFormat="false" ht="14.25" hidden="false" customHeight="true" outlineLevel="0" collapsed="false">
      <c r="A22" s="513" t="n">
        <v>43075</v>
      </c>
      <c r="B22" s="514" t="n">
        <v>2629.27002</v>
      </c>
      <c r="C22" s="515" t="n">
        <f aca="false">(B22-B21)/B21</f>
        <v>-0.000114105345071969</v>
      </c>
      <c r="D22" s="516" t="n">
        <v>112.317633111964</v>
      </c>
      <c r="E22" s="515" t="n">
        <f aca="false">(D22-D21)/D21</f>
        <v>-0.000200310819987267</v>
      </c>
    </row>
    <row r="23" customFormat="false" ht="14.25" hidden="false" customHeight="true" outlineLevel="0" collapsed="false">
      <c r="A23" s="511" t="n">
        <v>43076</v>
      </c>
      <c r="B23" s="507" t="n">
        <v>2636.97998</v>
      </c>
      <c r="C23" s="518" t="n">
        <f aca="false">(B23-B22)/B22</f>
        <v>0.0029323576282972</v>
      </c>
      <c r="D23" s="512" t="n">
        <v>112.915253408235</v>
      </c>
      <c r="E23" s="518" t="n">
        <f aca="false">(D23-D22)/D22</f>
        <v>0.00532080564478478</v>
      </c>
    </row>
    <row r="24" customFormat="false" ht="14.25" hidden="false" customHeight="true" outlineLevel="0" collapsed="false">
      <c r="A24" s="513" t="n">
        <v>43077</v>
      </c>
      <c r="B24" s="514" t="n">
        <v>2651.5</v>
      </c>
      <c r="C24" s="515" t="n">
        <f aca="false">(B24-B23)/B23</f>
        <v>0.00550630649839061</v>
      </c>
      <c r="D24" s="516" t="n">
        <v>114.093956079709</v>
      </c>
      <c r="E24" s="515" t="n">
        <f aca="false">(D24-D23)/D23</f>
        <v>0.0104388258972639</v>
      </c>
    </row>
    <row r="25" customFormat="false" ht="14.25" hidden="false" customHeight="true" outlineLevel="0" collapsed="false">
      <c r="A25" s="511" t="n">
        <v>43080</v>
      </c>
      <c r="B25" s="507" t="n">
        <v>2659.98999</v>
      </c>
      <c r="C25" s="518" t="n">
        <f aca="false">(B25-B24)/B24</f>
        <v>0.00320195738261363</v>
      </c>
      <c r="D25" s="512" t="n">
        <v>114.771280754169</v>
      </c>
      <c r="E25" s="518" t="n">
        <f aca="false">(D25-D24)/D24</f>
        <v>0.00593655174851505</v>
      </c>
    </row>
    <row r="26" customFormat="false" ht="14.25" hidden="false" customHeight="true" outlineLevel="0" collapsed="false">
      <c r="A26" s="513" t="n">
        <v>43081</v>
      </c>
      <c r="B26" s="514" t="n">
        <v>2664.110107</v>
      </c>
      <c r="C26" s="515" t="n">
        <f aca="false">(B26-B25)/B25</f>
        <v>0.00154892199425154</v>
      </c>
      <c r="D26" s="516" t="n">
        <v>115.071231166531</v>
      </c>
      <c r="E26" s="515" t="n">
        <f aca="false">(D26-D25)/D25</f>
        <v>0.00261346227375887</v>
      </c>
    </row>
    <row r="27" customFormat="false" ht="14.25" hidden="false" customHeight="true" outlineLevel="0" collapsed="false">
      <c r="A27" s="511" t="n">
        <v>43082</v>
      </c>
      <c r="B27" s="507" t="n">
        <v>2662.850098</v>
      </c>
      <c r="C27" s="518" t="n">
        <f aca="false">(B27-B26)/B26</f>
        <v>-0.000472956803357858</v>
      </c>
      <c r="D27" s="512" t="n">
        <v>114.980503753489</v>
      </c>
      <c r="E27" s="518" t="n">
        <f aca="false">(D27-D26)/D26</f>
        <v>-0.000788445662067375</v>
      </c>
    </row>
    <row r="28" customFormat="false" ht="14.25" hidden="false" customHeight="true" outlineLevel="0" collapsed="false">
      <c r="A28" s="513" t="n">
        <v>43083</v>
      </c>
      <c r="B28" s="514" t="n">
        <v>2652.01001</v>
      </c>
      <c r="C28" s="515" t="n">
        <f aca="false">(B28-B27)/B27</f>
        <v>-0.00407085926772282</v>
      </c>
      <c r="D28" s="516" t="n">
        <v>114.188845608726</v>
      </c>
      <c r="E28" s="515" t="n">
        <f aca="false">(D28-D27)/D27</f>
        <v>-0.00688515112492698</v>
      </c>
    </row>
    <row r="29" customFormat="false" ht="14.25" hidden="false" customHeight="true" outlineLevel="0" collapsed="false">
      <c r="A29" s="511" t="n">
        <v>43084</v>
      </c>
      <c r="B29" s="507" t="n">
        <v>2675.810059</v>
      </c>
      <c r="C29" s="518" t="n">
        <f aca="false">(B29-B28)/B28</f>
        <v>0.00897434357723256</v>
      </c>
      <c r="D29" s="512" t="n">
        <v>116.032258039672</v>
      </c>
      <c r="E29" s="518" t="n">
        <f aca="false">(D29-D28)/D28</f>
        <v>0.0161435420519317</v>
      </c>
    </row>
    <row r="30" customFormat="false" ht="14.25" hidden="false" customHeight="true" outlineLevel="0" collapsed="false">
      <c r="A30" s="513" t="n">
        <v>43087</v>
      </c>
      <c r="B30" s="514" t="n">
        <v>2690.159912</v>
      </c>
      <c r="C30" s="515" t="n">
        <f aca="false">(B30-B29)/B29</f>
        <v>0.00536280703173789</v>
      </c>
      <c r="D30" s="516" t="n">
        <v>117.042073111523</v>
      </c>
      <c r="E30" s="515" t="n">
        <f aca="false">(D30-D29)/D29</f>
        <v>0.00870288218906964</v>
      </c>
    </row>
    <row r="31" customFormat="false" ht="14.25" hidden="false" customHeight="true" outlineLevel="0" collapsed="false">
      <c r="A31" s="511" t="n">
        <v>43088</v>
      </c>
      <c r="B31" s="507" t="n">
        <v>2681.469971</v>
      </c>
      <c r="C31" s="518" t="n">
        <f aca="false">(B31-B30)/B30</f>
        <v>-0.00323026930898675</v>
      </c>
      <c r="D31" s="512" t="n">
        <v>116.373341521199</v>
      </c>
      <c r="E31" s="518" t="n">
        <f aca="false">(D31-D30)/D30</f>
        <v>-0.00571360001191027</v>
      </c>
    </row>
    <row r="32" customFormat="false" ht="14.25" hidden="false" customHeight="true" outlineLevel="0" collapsed="false">
      <c r="A32" s="513" t="n">
        <v>43089</v>
      </c>
      <c r="B32" s="514" t="n">
        <v>2679.25</v>
      </c>
      <c r="C32" s="515" t="n">
        <f aca="false">(B32-B31)/B31</f>
        <v>-0.000827893291369619</v>
      </c>
      <c r="D32" s="516" t="n">
        <v>116.216232522462</v>
      </c>
      <c r="E32" s="515" t="n">
        <f aca="false">(D32-D31)/D31</f>
        <v>-0.00135004285932945</v>
      </c>
    </row>
    <row r="33" customFormat="false" ht="14.25" hidden="false" customHeight="true" outlineLevel="0" collapsed="false">
      <c r="A33" s="511" t="n">
        <v>43090</v>
      </c>
      <c r="B33" s="507" t="n">
        <v>2684.570068</v>
      </c>
      <c r="C33" s="518" t="n">
        <f aca="false">(B33-B32)/B32</f>
        <v>0.0019856556872259</v>
      </c>
      <c r="D33" s="512" t="n">
        <v>116.639676388379</v>
      </c>
      <c r="E33" s="518" t="n">
        <f aca="false">(D33-D32)/D32</f>
        <v>0.0036435862420094</v>
      </c>
    </row>
    <row r="34" customFormat="false" ht="14.25" hidden="false" customHeight="true" outlineLevel="0" collapsed="false">
      <c r="A34" s="513" t="n">
        <v>43091</v>
      </c>
      <c r="B34" s="514" t="n">
        <v>2683.340088</v>
      </c>
      <c r="C34" s="515" t="n">
        <f aca="false">(B34-B33)/B33</f>
        <v>-0.000458166473157619</v>
      </c>
      <c r="D34" s="516" t="n">
        <v>116.539115873602</v>
      </c>
      <c r="E34" s="515" t="n">
        <f aca="false">(D34-D33)/D33</f>
        <v>-0.000862146723059841</v>
      </c>
    </row>
    <row r="35" customFormat="false" ht="14.25" hidden="false" customHeight="true" outlineLevel="0" collapsed="false">
      <c r="A35" s="511" t="n">
        <v>43095</v>
      </c>
      <c r="B35" s="507" t="n">
        <v>2680.5</v>
      </c>
      <c r="C35" s="518" t="n">
        <f aca="false">(B35-B34)/B34</f>
        <v>-0.00105841522388493</v>
      </c>
      <c r="D35" s="512" t="n">
        <v>116.307439065989</v>
      </c>
      <c r="E35" s="518" t="n">
        <f aca="false">(D35-D34)/D34</f>
        <v>-0.0019879746459058</v>
      </c>
    </row>
    <row r="36" customFormat="false" ht="14.25" hidden="false" customHeight="true" outlineLevel="0" collapsed="false">
      <c r="A36" s="513" t="n">
        <v>43096</v>
      </c>
      <c r="B36" s="514" t="n">
        <v>2682.620117</v>
      </c>
      <c r="C36" s="515" t="n">
        <f aca="false">(B36-B35)/B35</f>
        <v>0.00079094086924079</v>
      </c>
      <c r="D36" s="516" t="n">
        <v>116.466524728081</v>
      </c>
      <c r="E36" s="515" t="n">
        <f aca="false">(D36-D35)/D35</f>
        <v>0.00136780298293505</v>
      </c>
    </row>
    <row r="37" customFormat="false" ht="14.25" hidden="false" customHeight="true" outlineLevel="0" collapsed="false">
      <c r="A37" s="511" t="n">
        <v>43097</v>
      </c>
      <c r="B37" s="507" t="n">
        <v>2687.540039</v>
      </c>
      <c r="C37" s="518" t="n">
        <f aca="false">(B37-B36)/B36</f>
        <v>0.00183399877188054</v>
      </c>
      <c r="D37" s="512" t="n">
        <v>116.854572670917</v>
      </c>
      <c r="E37" s="518" t="n">
        <f aca="false">(D37-D36)/D36</f>
        <v>0.0033318410053188</v>
      </c>
    </row>
    <row r="38" customFormat="false" ht="14.25" hidden="false" customHeight="true" outlineLevel="0" collapsed="false">
      <c r="A38" s="513" t="n">
        <v>43098</v>
      </c>
      <c r="B38" s="514" t="n">
        <v>2673.610107</v>
      </c>
      <c r="C38" s="515" t="n">
        <f aca="false">(B38-B37)/B37</f>
        <v>-0.00518315329180479</v>
      </c>
      <c r="D38" s="516" t="n">
        <v>115.81714096593</v>
      </c>
      <c r="E38" s="515" t="n">
        <f aca="false">(D38-D37)/D37</f>
        <v>-0.00887797269096683</v>
      </c>
    </row>
    <row r="39" customFormat="false" ht="14.25" hidden="false" customHeight="true" outlineLevel="0" collapsed="false">
      <c r="A39" s="511" t="n">
        <v>43102</v>
      </c>
      <c r="B39" s="507" t="n">
        <v>2695.810059</v>
      </c>
      <c r="C39" s="518" t="n">
        <f aca="false">(B39-B38)/B38</f>
        <v>0.0083033617885706</v>
      </c>
      <c r="D39" s="512" t="n">
        <v>117.523519161423</v>
      </c>
      <c r="E39" s="518" t="n">
        <f aca="false">(D39-D38)/D38</f>
        <v>0.0147333821337808</v>
      </c>
    </row>
    <row r="40" customFormat="false" ht="14.25" hidden="false" customHeight="true" outlineLevel="0" collapsed="false">
      <c r="A40" s="513" t="n">
        <v>43103</v>
      </c>
      <c r="B40" s="514" t="n">
        <v>2713.060059</v>
      </c>
      <c r="C40" s="515" t="n">
        <f aca="false">(B40-B39)/B39</f>
        <v>0.00639881876781735</v>
      </c>
      <c r="D40" s="516" t="n">
        <v>118.803129779303</v>
      </c>
      <c r="E40" s="515" t="n">
        <f aca="false">(D40-D39)/D39</f>
        <v>0.0108881237305566</v>
      </c>
    </row>
    <row r="41" customFormat="false" ht="14.25" hidden="false" customHeight="true" outlineLevel="0" collapsed="false">
      <c r="A41" s="511" t="n">
        <v>43104</v>
      </c>
      <c r="B41" s="507" t="n">
        <v>2723.98999</v>
      </c>
      <c r="C41" s="518" t="n">
        <f aca="false">(B41-B40)/B40</f>
        <v>0.00402863584377441</v>
      </c>
      <c r="D41" s="512" t="n">
        <v>119.685035585903</v>
      </c>
      <c r="E41" s="518" t="n">
        <f aca="false">(D41-D40)/D40</f>
        <v>0.00742325398529717</v>
      </c>
    </row>
    <row r="42" customFormat="false" ht="14.25" hidden="false" customHeight="true" outlineLevel="0" collapsed="false">
      <c r="A42" s="513" t="n">
        <v>43105</v>
      </c>
      <c r="B42" s="514" t="n">
        <v>2743.149902</v>
      </c>
      <c r="C42" s="515" t="n">
        <f aca="false">(B42-B41)/B41</f>
        <v>0.00703376740382224</v>
      </c>
      <c r="D42" s="516" t="n">
        <v>121.144499153329</v>
      </c>
      <c r="E42" s="515" t="n">
        <f aca="false">(D42-D41)/D41</f>
        <v>0.0121942025607577</v>
      </c>
    </row>
    <row r="43" customFormat="false" ht="14.25" hidden="false" customHeight="true" outlineLevel="0" collapsed="false">
      <c r="A43" s="511" t="n">
        <v>43108</v>
      </c>
      <c r="B43" s="507" t="n">
        <v>2747.709961</v>
      </c>
      <c r="C43" s="518" t="n">
        <f aca="false">(B43-B42)/B42</f>
        <v>0.0016623440799481</v>
      </c>
      <c r="D43" s="512" t="n">
        <v>121.513044236412</v>
      </c>
      <c r="E43" s="518" t="n">
        <f aca="false">(D43-D42)/D42</f>
        <v>0.00304219412072974</v>
      </c>
    </row>
    <row r="44" customFormat="false" ht="14.25" hidden="false" customHeight="true" outlineLevel="0" collapsed="false">
      <c r="A44" s="513" t="n">
        <v>43109</v>
      </c>
      <c r="B44" s="514" t="n">
        <v>2751.290039</v>
      </c>
      <c r="C44" s="515" t="n">
        <f aca="false">(B44-B43)/B43</f>
        <v>0.00130293155056912</v>
      </c>
      <c r="D44" s="516" t="n">
        <v>121.808130233697</v>
      </c>
      <c r="E44" s="515" t="n">
        <f aca="false">(D44-D43)/D43</f>
        <v>0.00242843061943942</v>
      </c>
    </row>
    <row r="45" customFormat="false" ht="14.25" hidden="false" customHeight="true" outlineLevel="0" collapsed="false">
      <c r="A45" s="511" t="n">
        <v>43110</v>
      </c>
      <c r="B45" s="507" t="n">
        <v>2748.22998</v>
      </c>
      <c r="C45" s="518" t="n">
        <f aca="false">(B45-B44)/B44</f>
        <v>-0.00111222697593604</v>
      </c>
      <c r="D45" s="512" t="n">
        <v>121.586480333343</v>
      </c>
      <c r="E45" s="518" t="n">
        <f aca="false">(D45-D44)/D44</f>
        <v>-0.00181966425335275</v>
      </c>
    </row>
    <row r="46" customFormat="false" ht="14.25" hidden="false" customHeight="true" outlineLevel="0" collapsed="false">
      <c r="A46" s="513" t="n">
        <v>43111</v>
      </c>
      <c r="B46" s="514" t="n">
        <v>2767.560059</v>
      </c>
      <c r="C46" s="515" t="n">
        <f aca="false">(B46-B45)/B45</f>
        <v>0.00703364679836578</v>
      </c>
      <c r="D46" s="516" t="n">
        <v>122.965331542684</v>
      </c>
      <c r="E46" s="515" t="n">
        <f aca="false">(D46-D45)/D45</f>
        <v>0.0113404977721266</v>
      </c>
    </row>
    <row r="47" customFormat="false" ht="14.25" hidden="false" customHeight="true" outlineLevel="0" collapsed="false">
      <c r="A47" s="511" t="n">
        <v>43112</v>
      </c>
      <c r="B47" s="507" t="n">
        <v>2786.23999</v>
      </c>
      <c r="C47" s="518" t="n">
        <f aca="false">(B47-B46)/B46</f>
        <v>0.006749602755414</v>
      </c>
      <c r="D47" s="512" t="n">
        <v>124.555912173509</v>
      </c>
      <c r="E47" s="518" t="n">
        <f aca="false">(D47-D46)/D46</f>
        <v>0.0129351957244378</v>
      </c>
    </row>
    <row r="48" customFormat="false" ht="14.25" hidden="false" customHeight="true" outlineLevel="0" collapsed="false">
      <c r="A48" s="513" t="n">
        <v>43116</v>
      </c>
      <c r="B48" s="514" t="n">
        <v>2776.419922</v>
      </c>
      <c r="C48" s="515" t="n">
        <f aca="false">(B48-B47)/B47</f>
        <v>-0.00352448749398647</v>
      </c>
      <c r="D48" s="516" t="n">
        <v>123.715519289519</v>
      </c>
      <c r="E48" s="515" t="n">
        <f aca="false">(D48-D47)/D47</f>
        <v>-0.00674711355988724</v>
      </c>
    </row>
    <row r="49" customFormat="false" ht="14.25" hidden="false" customHeight="true" outlineLevel="0" collapsed="false">
      <c r="A49" s="511" t="n">
        <v>43117</v>
      </c>
      <c r="B49" s="507" t="n">
        <v>2802.560059</v>
      </c>
      <c r="C49" s="518" t="n">
        <f aca="false">(B49-B48)/B48</f>
        <v>0.00941505166162681</v>
      </c>
      <c r="D49" s="512" t="n">
        <v>125.930647709081</v>
      </c>
      <c r="E49" s="518" t="n">
        <f aca="false">(D49-D48)/D48</f>
        <v>0.0179050165434634</v>
      </c>
    </row>
    <row r="50" customFormat="false" ht="14.25" hidden="false" customHeight="true" outlineLevel="0" collapsed="false">
      <c r="A50" s="513" t="n">
        <v>43118</v>
      </c>
      <c r="B50" s="514" t="n">
        <v>2798.030029</v>
      </c>
      <c r="C50" s="515" t="n">
        <f aca="false">(B50-B49)/B49</f>
        <v>-0.001616389980815</v>
      </c>
      <c r="D50" s="516" t="n">
        <v>125.600130584788</v>
      </c>
      <c r="E50" s="515" t="n">
        <f aca="false">(D50-D49)/D49</f>
        <v>-0.00262459639734833</v>
      </c>
    </row>
    <row r="51" customFormat="false" ht="14.25" hidden="false" customHeight="true" outlineLevel="0" collapsed="false">
      <c r="A51" s="511" t="n">
        <v>43119</v>
      </c>
      <c r="B51" s="507" t="n">
        <v>2810.300049</v>
      </c>
      <c r="C51" s="518" t="n">
        <f aca="false">(B51-B50)/B50</f>
        <v>0.00438523528083262</v>
      </c>
      <c r="D51" s="512" t="n">
        <v>126.530360416623</v>
      </c>
      <c r="E51" s="518" t="n">
        <f aca="false">(D51-D50)/D50</f>
        <v>0.00740628076980405</v>
      </c>
    </row>
    <row r="52" customFormat="false" ht="14.25" hidden="false" customHeight="true" outlineLevel="0" collapsed="false">
      <c r="A52" s="513" t="n">
        <v>43122</v>
      </c>
      <c r="B52" s="514" t="n">
        <v>2832.969971</v>
      </c>
      <c r="C52" s="515" t="n">
        <f aca="false">(B52-B51)/B51</f>
        <v>0.00806672654333361</v>
      </c>
      <c r="D52" s="516" t="n">
        <v>128.414081642468</v>
      </c>
      <c r="E52" s="515" t="n">
        <f aca="false">(D52-D51)/D51</f>
        <v>0.0148875038341986</v>
      </c>
    </row>
    <row r="53" customFormat="false" ht="14.25" hidden="false" customHeight="true" outlineLevel="0" collapsed="false">
      <c r="A53" s="511" t="n">
        <v>43123</v>
      </c>
      <c r="B53" s="507" t="n">
        <v>2839.129883</v>
      </c>
      <c r="C53" s="518" t="n">
        <f aca="false">(B53-B52)/B52</f>
        <v>0.00217436544088242</v>
      </c>
      <c r="D53" s="512" t="n">
        <v>128.943606879081</v>
      </c>
      <c r="E53" s="518" t="n">
        <f aca="false">(D53-D52)/D52</f>
        <v>0.00412357608947665</v>
      </c>
    </row>
    <row r="54" customFormat="false" ht="14.25" hidden="false" customHeight="true" outlineLevel="0" collapsed="false">
      <c r="A54" s="513" t="n">
        <v>43124</v>
      </c>
      <c r="B54" s="514" t="n">
        <v>2837.540039</v>
      </c>
      <c r="C54" s="515" t="n">
        <f aca="false">(B54-B53)/B53</f>
        <v>-0.000559975790300991</v>
      </c>
      <c r="D54" s="516" t="n">
        <v>128.80506141888</v>
      </c>
      <c r="E54" s="515" t="n">
        <f aca="false">(D54-D53)/D53</f>
        <v>-0.00107446552453671</v>
      </c>
    </row>
    <row r="55" customFormat="false" ht="14.25" hidden="false" customHeight="true" outlineLevel="0" collapsed="false">
      <c r="A55" s="511" t="n">
        <v>43125</v>
      </c>
      <c r="B55" s="507" t="n">
        <v>2839.25</v>
      </c>
      <c r="C55" s="518" t="n">
        <f aca="false">(B55-B54)/B54</f>
        <v>0.000602620923933339</v>
      </c>
      <c r="D55" s="512" t="n">
        <v>128.937752326902</v>
      </c>
      <c r="E55" s="518" t="n">
        <f aca="false">(D55-D54)/D54</f>
        <v>0.00103016843096314</v>
      </c>
    </row>
    <row r="56" customFormat="false" ht="14.25" hidden="false" customHeight="true" outlineLevel="0" collapsed="false">
      <c r="A56" s="513" t="n">
        <v>43126</v>
      </c>
      <c r="B56" s="514" t="n">
        <v>2872.870117</v>
      </c>
      <c r="C56" s="515" t="n">
        <f aca="false">(B56-B55)/B55</f>
        <v>0.0118411964427225</v>
      </c>
      <c r="D56" s="516" t="n">
        <v>131.583736064382</v>
      </c>
      <c r="E56" s="515" t="n">
        <f aca="false">(D56-D55)/D55</f>
        <v>0.0205214042414166</v>
      </c>
    </row>
    <row r="57" customFormat="false" ht="14.25" hidden="false" customHeight="true" outlineLevel="0" collapsed="false">
      <c r="A57" s="511" t="n">
        <v>43129</v>
      </c>
      <c r="B57" s="507" t="n">
        <v>2853.530029</v>
      </c>
      <c r="C57" s="518" t="n">
        <f aca="false">(B57-B56)/B56</f>
        <v>-0.00673197437139826</v>
      </c>
      <c r="D57" s="512" t="n">
        <v>130.136635857136</v>
      </c>
      <c r="E57" s="518" t="n">
        <f aca="false">(D57-D56)/D56</f>
        <v>-0.0109975613288404</v>
      </c>
    </row>
    <row r="58" customFormat="false" ht="14.25" hidden="false" customHeight="true" outlineLevel="0" collapsed="false">
      <c r="A58" s="513" t="n">
        <v>43130</v>
      </c>
      <c r="B58" s="514" t="n">
        <v>2822.429932</v>
      </c>
      <c r="C58" s="515" t="n">
        <f aca="false">(B58-B57)/B57</f>
        <v>-0.0108988153914395</v>
      </c>
      <c r="D58" s="516" t="n">
        <v>127.423659689094</v>
      </c>
      <c r="E58" s="515" t="n">
        <f aca="false">(D58-D57)/D57</f>
        <v>-0.0208471361671</v>
      </c>
    </row>
    <row r="59" customFormat="false" ht="14.25" hidden="false" customHeight="true" outlineLevel="0" collapsed="false">
      <c r="A59" s="511" t="n">
        <v>43131</v>
      </c>
      <c r="B59" s="507" t="n">
        <v>2823.810059</v>
      </c>
      <c r="C59" s="518" t="n">
        <f aca="false">(B59-B58)/B58</f>
        <v>0.000488985389629117</v>
      </c>
      <c r="D59" s="512" t="n">
        <v>127.53683441821</v>
      </c>
      <c r="E59" s="518" t="n">
        <f aca="false">(D59-D58)/D58</f>
        <v>0.000888176727871029</v>
      </c>
    </row>
    <row r="60" customFormat="false" ht="14.25" hidden="false" customHeight="true" outlineLevel="0" collapsed="false">
      <c r="A60" s="513" t="n">
        <v>43132</v>
      </c>
      <c r="B60" s="514" t="n">
        <v>2821.97998</v>
      </c>
      <c r="C60" s="515" t="n">
        <f aca="false">(B60-B59)/B59</f>
        <v>-0.000648088561823429</v>
      </c>
      <c r="D60" s="516" t="n">
        <v>127.38638781742</v>
      </c>
      <c r="E60" s="515" t="n">
        <f aca="false">(D60-D59)/D59</f>
        <v>-0.00117963254675642</v>
      </c>
    </row>
    <row r="61" customFormat="false" ht="14.25" hidden="false" customHeight="true" outlineLevel="0" collapsed="false">
      <c r="A61" s="511" t="n">
        <v>43133</v>
      </c>
      <c r="B61" s="507" t="n">
        <v>2762.129883</v>
      </c>
      <c r="C61" s="518" t="n">
        <f aca="false">(B61-B60)/B60</f>
        <v>-0.0212085476949415</v>
      </c>
      <c r="D61" s="512" t="n">
        <v>122.471544563233</v>
      </c>
      <c r="E61" s="518" t="n">
        <f aca="false">(D61-D60)/D60</f>
        <v>-0.0385821698722735</v>
      </c>
    </row>
    <row r="62" customFormat="false" ht="14.25" hidden="false" customHeight="true" outlineLevel="0" collapsed="false">
      <c r="A62" s="513" t="n">
        <v>43136</v>
      </c>
      <c r="B62" s="514" t="n">
        <v>2648.939941</v>
      </c>
      <c r="C62" s="515" t="n">
        <f aca="false">(B62-B61)/B61</f>
        <v>-0.0409792250164074</v>
      </c>
      <c r="D62" s="516" t="n">
        <v>113.351412931697</v>
      </c>
      <c r="E62" s="515" t="n">
        <f aca="false">(D62-D61)/D61</f>
        <v>-0.0744673521025711</v>
      </c>
    </row>
    <row r="63" customFormat="false" ht="14.25" hidden="false" customHeight="true" outlineLevel="0" collapsed="false">
      <c r="A63" s="511" t="n">
        <v>43137</v>
      </c>
      <c r="B63" s="507" t="n">
        <v>2695.139893</v>
      </c>
      <c r="C63" s="518" t="n">
        <f aca="false">(B63-B62)/B62</f>
        <v>0.0174409209076137</v>
      </c>
      <c r="D63" s="512" t="n">
        <v>116.877410861522</v>
      </c>
      <c r="E63" s="518" t="n">
        <f aca="false">(D63-D62)/D62</f>
        <v>0.0311067841029003</v>
      </c>
    </row>
    <row r="64" customFormat="false" ht="14.25" hidden="false" customHeight="true" outlineLevel="0" collapsed="false">
      <c r="A64" s="513" t="n">
        <v>43138</v>
      </c>
      <c r="B64" s="514" t="n">
        <v>2681.659912</v>
      </c>
      <c r="C64" s="515" t="n">
        <f aca="false">(B64-B63)/B63</f>
        <v>-0.00500158861327053</v>
      </c>
      <c r="D64" s="516" t="n">
        <v>115.810642318573</v>
      </c>
      <c r="E64" s="515" t="n">
        <f aca="false">(D64-D63)/D63</f>
        <v>-0.00912724310955959</v>
      </c>
    </row>
    <row r="65" customFormat="false" ht="14.25" hidden="false" customHeight="true" outlineLevel="0" collapsed="false">
      <c r="A65" s="511" t="n">
        <v>43139</v>
      </c>
      <c r="B65" s="507" t="n">
        <v>2581</v>
      </c>
      <c r="C65" s="518" t="n">
        <f aca="false">(B65-B64)/B64</f>
        <v>-0.0375364197188327</v>
      </c>
      <c r="D65" s="512" t="n">
        <v>107.54629552873</v>
      </c>
      <c r="E65" s="518" t="n">
        <f aca="false">(D65-D64)/D64</f>
        <v>-0.0713608579003418</v>
      </c>
    </row>
    <row r="66" customFormat="false" ht="14.25" hidden="false" customHeight="true" outlineLevel="0" collapsed="false">
      <c r="A66" s="513" t="n">
        <v>43140</v>
      </c>
      <c r="B66" s="514" t="n">
        <v>2619.550049</v>
      </c>
      <c r="C66" s="515" t="n">
        <f aca="false">(B66-B65)/B65</f>
        <v>0.0149360902750872</v>
      </c>
      <c r="D66" s="516" t="n">
        <v>110.498699117787</v>
      </c>
      <c r="E66" s="515" t="n">
        <f aca="false">(D66-D65)/D65</f>
        <v>0.0274523968914233</v>
      </c>
    </row>
    <row r="67" customFormat="false" ht="14.25" hidden="false" customHeight="true" outlineLevel="0" collapsed="false">
      <c r="A67" s="511" t="n">
        <v>43143</v>
      </c>
      <c r="B67" s="507" t="n">
        <v>2656</v>
      </c>
      <c r="C67" s="518" t="n">
        <f aca="false">(B67-B66)/B66</f>
        <v>0.0139145846875171</v>
      </c>
      <c r="D67" s="512" t="n">
        <v>113.431935958755</v>
      </c>
      <c r="E67" s="518" t="n">
        <f aca="false">(D67-D66)/D66</f>
        <v>0.0265454422937713</v>
      </c>
    </row>
    <row r="68" customFormat="false" ht="14.25" hidden="false" customHeight="true" outlineLevel="0" collapsed="false">
      <c r="A68" s="513" t="n">
        <v>43144</v>
      </c>
      <c r="B68" s="514" t="n">
        <v>2662.939941</v>
      </c>
      <c r="C68" s="515" t="n">
        <f aca="false">(B68-B67)/B67</f>
        <v>0.00261292959337353</v>
      </c>
      <c r="D68" s="516" t="n">
        <v>113.976288686609</v>
      </c>
      <c r="E68" s="515" t="n">
        <f aca="false">(D68-D67)/D67</f>
        <v>0.00479893711813155</v>
      </c>
    </row>
    <row r="69" customFormat="false" ht="14.25" hidden="false" customHeight="true" outlineLevel="0" collapsed="false">
      <c r="A69" s="511" t="n">
        <v>43145</v>
      </c>
      <c r="B69" s="507" t="n">
        <v>2698.629883</v>
      </c>
      <c r="C69" s="518" t="n">
        <f aca="false">(B69-B68)/B68</f>
        <v>0.0134024584822583</v>
      </c>
      <c r="D69" s="512" t="n">
        <v>116.663738894559</v>
      </c>
      <c r="E69" s="518" t="n">
        <f aca="false">(D69-D68)/D68</f>
        <v>0.0235790289271435</v>
      </c>
    </row>
    <row r="70" customFormat="false" ht="14.25" hidden="false" customHeight="true" outlineLevel="0" collapsed="false">
      <c r="A70" s="513" t="n">
        <v>43146</v>
      </c>
      <c r="B70" s="514" t="n">
        <v>2731.199951</v>
      </c>
      <c r="C70" s="515" t="n">
        <f aca="false">(B70-B69)/B69</f>
        <v>0.0120691126282915</v>
      </c>
      <c r="D70" s="516" t="n">
        <v>119.222739467373</v>
      </c>
      <c r="E70" s="515" t="n">
        <f aca="false">(D70-D69)/D69</f>
        <v>0.0219348410831135</v>
      </c>
    </row>
    <row r="71" customFormat="false" ht="14.25" hidden="false" customHeight="true" outlineLevel="0" collapsed="false">
      <c r="A71" s="511" t="n">
        <v>43147</v>
      </c>
      <c r="B71" s="507" t="n">
        <v>2732.219971</v>
      </c>
      <c r="C71" s="518" t="n">
        <f aca="false">(B71-B70)/B70</f>
        <v>0.000373469543900095</v>
      </c>
      <c r="D71" s="512" t="n">
        <v>119.295470220169</v>
      </c>
      <c r="E71" s="518" t="n">
        <f aca="false">(D71-D70)/D70</f>
        <v>0.000610040946223138</v>
      </c>
    </row>
    <row r="72" customFormat="false" ht="14.25" hidden="false" customHeight="true" outlineLevel="0" collapsed="false">
      <c r="A72" s="513" t="n">
        <v>43151</v>
      </c>
      <c r="B72" s="514" t="n">
        <v>2716.26001</v>
      </c>
      <c r="C72" s="515" t="n">
        <f aca="false">(B72-B71)/B71</f>
        <v>-0.00584138948159384</v>
      </c>
      <c r="D72" s="516" t="n">
        <v>118.124903413457</v>
      </c>
      <c r="E72" s="515" t="n">
        <f aca="false">(D72-D71)/D71</f>
        <v>-0.00981233239243382</v>
      </c>
    </row>
    <row r="73" customFormat="false" ht="14.25" hidden="false" customHeight="true" outlineLevel="0" collapsed="false">
      <c r="A73" s="511" t="n">
        <v>43152</v>
      </c>
      <c r="B73" s="507" t="n">
        <v>2701.330078</v>
      </c>
      <c r="C73" s="518" t="n">
        <f aca="false">(B73-B72)/B72</f>
        <v>-0.00549650326001008</v>
      </c>
      <c r="D73" s="512" t="n">
        <v>117.002435612148</v>
      </c>
      <c r="E73" s="518" t="n">
        <f aca="false">(D73-D72)/D72</f>
        <v>-0.00950238069088763</v>
      </c>
    </row>
    <row r="74" customFormat="false" ht="14.25" hidden="false" customHeight="true" outlineLevel="0" collapsed="false">
      <c r="A74" s="513" t="n">
        <v>43153</v>
      </c>
      <c r="B74" s="514" t="n">
        <v>2703.959961</v>
      </c>
      <c r="C74" s="515" t="n">
        <f aca="false">(B74-B73)/B73</f>
        <v>0.000973551148531677</v>
      </c>
      <c r="D74" s="516" t="n">
        <v>117.195808665309</v>
      </c>
      <c r="E74" s="515" t="n">
        <f aca="false">(D74-D73)/D73</f>
        <v>0.00165272673298879</v>
      </c>
    </row>
    <row r="75" customFormat="false" ht="14.25" hidden="false" customHeight="true" outlineLevel="0" collapsed="false">
      <c r="A75" s="511" t="n">
        <v>43154</v>
      </c>
      <c r="B75" s="507" t="n">
        <v>2747.300049</v>
      </c>
      <c r="C75" s="518" t="n">
        <f aca="false">(B75-B74)/B74</f>
        <v>0.0160283763905925</v>
      </c>
      <c r="D75" s="512" t="n">
        <v>120.298294629832</v>
      </c>
      <c r="E75" s="518" t="n">
        <f aca="false">(D75-D74)/D74</f>
        <v>0.0264726699687969</v>
      </c>
    </row>
    <row r="76" customFormat="false" ht="14.25" hidden="false" customHeight="true" outlineLevel="0" collapsed="false">
      <c r="A76" s="513" t="n">
        <v>43157</v>
      </c>
      <c r="B76" s="514" t="n">
        <v>2779.600098</v>
      </c>
      <c r="C76" s="515" t="n">
        <f aca="false">(B76-B75)/B75</f>
        <v>0.0117570154056369</v>
      </c>
      <c r="D76" s="516" t="n">
        <v>122.860835994612</v>
      </c>
      <c r="E76" s="515" t="n">
        <f aca="false">(D76-D75)/D75</f>
        <v>0.021301560198049</v>
      </c>
    </row>
    <row r="77" customFormat="false" ht="14.25" hidden="false" customHeight="true" outlineLevel="0" collapsed="false">
      <c r="A77" s="511" t="n">
        <v>43158</v>
      </c>
      <c r="B77" s="507" t="n">
        <v>2744.280029</v>
      </c>
      <c r="C77" s="518" t="n">
        <f aca="false">(B77-B76)/B76</f>
        <v>-0.0127068886727316</v>
      </c>
      <c r="D77" s="512" t="n">
        <v>120.222204785826</v>
      </c>
      <c r="E77" s="518" t="n">
        <f aca="false">(D77-D76)/D76</f>
        <v>-0.0214765851739909</v>
      </c>
    </row>
    <row r="78" customFormat="false" ht="14.25" hidden="false" customHeight="true" outlineLevel="0" collapsed="false">
      <c r="A78" s="513" t="n">
        <v>43159</v>
      </c>
      <c r="B78" s="514" t="n">
        <v>2713.830078</v>
      </c>
      <c r="C78" s="515" t="n">
        <f aca="false">(B78-B77)/B77</f>
        <v>-0.0110957885777771</v>
      </c>
      <c r="D78" s="516" t="n">
        <v>117.720868087578</v>
      </c>
      <c r="E78" s="515" t="n">
        <f aca="false">(D78-D77)/D77</f>
        <v>-0.0208059459789819</v>
      </c>
    </row>
    <row r="79" customFormat="false" ht="14.25" hidden="false" customHeight="true" outlineLevel="0" collapsed="false">
      <c r="A79" s="511" t="n">
        <v>43160</v>
      </c>
      <c r="B79" s="507" t="n">
        <v>2677.669922</v>
      </c>
      <c r="C79" s="518" t="n">
        <f aca="false">(B79-B78)/B78</f>
        <v>-0.0133243994504802</v>
      </c>
      <c r="D79" s="512" t="n">
        <v>114.913871839346</v>
      </c>
      <c r="E79" s="518" t="n">
        <f aca="false">(D79-D78)/D78</f>
        <v>-0.0238445085721229</v>
      </c>
    </row>
    <row r="80" customFormat="false" ht="14.25" hidden="false" customHeight="true" outlineLevel="0" collapsed="false">
      <c r="A80" s="513" t="n">
        <v>43161</v>
      </c>
      <c r="B80" s="514" t="n">
        <v>2691.25</v>
      </c>
      <c r="C80" s="515" t="n">
        <f aca="false">(B80-B79)/B79</f>
        <v>0.00507160269771293</v>
      </c>
      <c r="D80" s="516" t="n">
        <v>115.973990588732</v>
      </c>
      <c r="E80" s="515" t="n">
        <f aca="false">(D80-D79)/D79</f>
        <v>0.00922533313356702</v>
      </c>
    </row>
    <row r="81" customFormat="false" ht="14.25" hidden="false" customHeight="true" outlineLevel="0" collapsed="false">
      <c r="A81" s="511" t="n">
        <v>43164</v>
      </c>
      <c r="B81" s="507" t="n">
        <v>2720.939941</v>
      </c>
      <c r="C81" s="518" t="n">
        <f aca="false">(B81-B80)/B80</f>
        <v>0.0110320263817929</v>
      </c>
      <c r="D81" s="512" t="n">
        <v>118.414622057687</v>
      </c>
      <c r="E81" s="518" t="n">
        <f aca="false">(D81-D80)/D80</f>
        <v>0.0210446450670995</v>
      </c>
    </row>
    <row r="82" customFormat="false" ht="14.25" hidden="false" customHeight="true" outlineLevel="0" collapsed="false">
      <c r="A82" s="513" t="n">
        <v>43165</v>
      </c>
      <c r="B82" s="514" t="n">
        <v>2728.120117</v>
      </c>
      <c r="C82" s="515" t="n">
        <f aca="false">(B82-B81)/B81</f>
        <v>0.00263885868695837</v>
      </c>
      <c r="D82" s="516" t="n">
        <v>118.916028819165</v>
      </c>
      <c r="E82" s="515" t="n">
        <f aca="false">(D82-D81)/D81</f>
        <v>0.00423433147667982</v>
      </c>
    </row>
    <row r="83" customFormat="false" ht="14.25" hidden="false" customHeight="true" outlineLevel="0" collapsed="false">
      <c r="A83" s="511" t="n">
        <v>43166</v>
      </c>
      <c r="B83" s="507" t="n">
        <v>2726.800049</v>
      </c>
      <c r="C83" s="518" t="n">
        <f aca="false">(B83-B82)/B82</f>
        <v>-0.000483874588869502</v>
      </c>
      <c r="D83" s="512" t="n">
        <v>118.815978277463</v>
      </c>
      <c r="E83" s="518" t="n">
        <f aca="false">(D83-D82)/D82</f>
        <v>-0.000841354548209393</v>
      </c>
    </row>
    <row r="84" customFormat="false" ht="14.25" hidden="false" customHeight="true" outlineLevel="0" collapsed="false">
      <c r="A84" s="513" t="n">
        <v>43167</v>
      </c>
      <c r="B84" s="514" t="n">
        <v>2738.969971</v>
      </c>
      <c r="C84" s="515" t="n">
        <f aca="false">(B84-B83)/B83</f>
        <v>0.0044630782533773</v>
      </c>
      <c r="D84" s="516" t="n">
        <v>119.79867479395</v>
      </c>
      <c r="E84" s="515" t="n">
        <f aca="false">(D84-D83)/D83</f>
        <v>0.0082707438067982</v>
      </c>
    </row>
    <row r="85" customFormat="false" ht="14.25" hidden="false" customHeight="true" outlineLevel="0" collapsed="false">
      <c r="A85" s="511" t="n">
        <v>43168</v>
      </c>
      <c r="B85" s="507" t="n">
        <v>2786.570068</v>
      </c>
      <c r="C85" s="518" t="n">
        <f aca="false">(B85-B84)/B84</f>
        <v>0.0173788312774459</v>
      </c>
      <c r="D85" s="512" t="n">
        <v>123.175354936018</v>
      </c>
      <c r="E85" s="518" t="n">
        <f aca="false">(D85-D84)/D84</f>
        <v>0.0281862896052547</v>
      </c>
    </row>
    <row r="86" customFormat="false" ht="14.25" hidden="false" customHeight="true" outlineLevel="0" collapsed="false">
      <c r="A86" s="513" t="n">
        <v>43171</v>
      </c>
      <c r="B86" s="514" t="n">
        <v>2783.02002</v>
      </c>
      <c r="C86" s="515" t="n">
        <f aca="false">(B86-B85)/B85</f>
        <v>-0.00127398483202256</v>
      </c>
      <c r="D86" s="516" t="n">
        <v>122.906220233072</v>
      </c>
      <c r="E86" s="515" t="n">
        <f aca="false">(D86-D85)/D85</f>
        <v>-0.00218497201072235</v>
      </c>
    </row>
    <row r="87" customFormat="false" ht="14.25" hidden="false" customHeight="true" outlineLevel="0" collapsed="false">
      <c r="A87" s="511" t="n">
        <v>43172</v>
      </c>
      <c r="B87" s="507" t="n">
        <v>2765.310059</v>
      </c>
      <c r="C87" s="518" t="n">
        <f aca="false">(B87-B86)/B86</f>
        <v>-0.00636357657247468</v>
      </c>
      <c r="D87" s="512" t="n">
        <v>121.607901870698</v>
      </c>
      <c r="E87" s="518" t="n">
        <f aca="false">(D87-D86)/D86</f>
        <v>-0.010563487835782</v>
      </c>
    </row>
    <row r="88" customFormat="false" ht="14.25" hidden="false" customHeight="true" outlineLevel="0" collapsed="false">
      <c r="A88" s="513" t="n">
        <v>43173</v>
      </c>
      <c r="B88" s="514" t="n">
        <v>2749.47998</v>
      </c>
      <c r="C88" s="515" t="n">
        <f aca="false">(B88-B87)/B87</f>
        <v>-0.00572452226414146</v>
      </c>
      <c r="D88" s="516" t="n">
        <v>120.4283752364</v>
      </c>
      <c r="E88" s="515" t="n">
        <f aca="false">(D88-D87)/D87</f>
        <v>-0.00969942426563822</v>
      </c>
    </row>
    <row r="89" customFormat="false" ht="14.25" hidden="false" customHeight="true" outlineLevel="0" collapsed="false">
      <c r="A89" s="511" t="n">
        <v>43174</v>
      </c>
      <c r="B89" s="507" t="n">
        <v>2747.330078</v>
      </c>
      <c r="C89" s="518" t="n">
        <f aca="false">(B89-B88)/B88</f>
        <v>-0.000781930407072872</v>
      </c>
      <c r="D89" s="512" t="n">
        <v>120.269773888792</v>
      </c>
      <c r="E89" s="518" t="n">
        <f aca="false">(D89-D88)/D88</f>
        <v>-0.001316976562182</v>
      </c>
    </row>
    <row r="90" customFormat="false" ht="14.25" hidden="false" customHeight="true" outlineLevel="0" collapsed="false">
      <c r="A90" s="513" t="n">
        <v>43175</v>
      </c>
      <c r="B90" s="514" t="n">
        <v>2752.01001</v>
      </c>
      <c r="C90" s="515" t="n">
        <f aca="false">(B90-B89)/B89</f>
        <v>0.00170344729869769</v>
      </c>
      <c r="D90" s="516" t="n">
        <v>120.605244253098</v>
      </c>
      <c r="E90" s="515" t="n">
        <f aca="false">(D90-D89)/D89</f>
        <v>0.00278931566476698</v>
      </c>
    </row>
    <row r="91" customFormat="false" ht="14.25" hidden="false" customHeight="true" outlineLevel="0" collapsed="false">
      <c r="A91" s="511" t="n">
        <v>43178</v>
      </c>
      <c r="B91" s="507" t="n">
        <v>2712.919922</v>
      </c>
      <c r="C91" s="518" t="n">
        <f aca="false">(B91-B90)/B90</f>
        <v>-0.0142041954273269</v>
      </c>
      <c r="D91" s="512" t="n">
        <v>117.709335210813</v>
      </c>
      <c r="E91" s="518" t="n">
        <f aca="false">(D91-D90)/D90</f>
        <v>-0.0240114686572646</v>
      </c>
    </row>
    <row r="92" customFormat="false" ht="14.25" hidden="false" customHeight="true" outlineLevel="0" collapsed="false">
      <c r="A92" s="513" t="n">
        <v>43179</v>
      </c>
      <c r="B92" s="514" t="n">
        <v>2716.939941</v>
      </c>
      <c r="C92" s="515" t="n">
        <f aca="false">(B92-B91)/B91</f>
        <v>0.00148180525617448</v>
      </c>
      <c r="D92" s="516" t="n">
        <v>117.995984952693</v>
      </c>
      <c r="E92" s="515" t="n">
        <f aca="false">(D92-D91)/D91</f>
        <v>0.00243523371673639</v>
      </c>
    </row>
    <row r="93" customFormat="false" ht="14.25" hidden="false" customHeight="true" outlineLevel="0" collapsed="false">
      <c r="A93" s="511" t="n">
        <v>43180</v>
      </c>
      <c r="B93" s="507" t="n">
        <v>2711.929932</v>
      </c>
      <c r="C93" s="518" t="n">
        <f aca="false">(B93-B92)/B92</f>
        <v>-0.0018439896018298</v>
      </c>
      <c r="D93" s="512" t="n">
        <v>117.643121311531</v>
      </c>
      <c r="E93" s="518" t="n">
        <f aca="false">(D93-D92)/D92</f>
        <v>-0.00299047159361786</v>
      </c>
    </row>
    <row r="94" customFormat="false" ht="14.25" hidden="false" customHeight="true" outlineLevel="0" collapsed="false">
      <c r="A94" s="513" t="n">
        <v>43181</v>
      </c>
      <c r="B94" s="514" t="n">
        <v>2643.689941</v>
      </c>
      <c r="C94" s="515" t="n">
        <f aca="false">(B94-B93)/B93</f>
        <v>-0.0251628886848393</v>
      </c>
      <c r="D94" s="516" t="n">
        <v>112.683227185368</v>
      </c>
      <c r="E94" s="515" t="n">
        <f aca="false">(D94-D93)/D93</f>
        <v>-0.0421605111362925</v>
      </c>
    </row>
    <row r="95" customFormat="false" ht="14.25" hidden="false" customHeight="true" outlineLevel="0" collapsed="false">
      <c r="A95" s="511" t="n">
        <v>43182</v>
      </c>
      <c r="B95" s="507" t="n">
        <v>2588.26001</v>
      </c>
      <c r="C95" s="518" t="n">
        <f aca="false">(B95-B94)/B94</f>
        <v>-0.0209668804727657</v>
      </c>
      <c r="D95" s="512" t="n">
        <v>108.829812626554</v>
      </c>
      <c r="E95" s="518" t="n">
        <f aca="false">(D95-D94)/D94</f>
        <v>-0.0341968778767313</v>
      </c>
    </row>
    <row r="96" customFormat="false" ht="14.25" hidden="false" customHeight="true" outlineLevel="0" collapsed="false">
      <c r="A96" s="513" t="n">
        <v>43185</v>
      </c>
      <c r="B96" s="514" t="n">
        <v>2658.550049</v>
      </c>
      <c r="C96" s="515" t="n">
        <f aca="false">(B96-B95)/B95</f>
        <v>0.0271572557349059</v>
      </c>
      <c r="D96" s="516" t="n">
        <v>113.948118178988</v>
      </c>
      <c r="E96" s="515" t="n">
        <f aca="false">(D96-D95)/D95</f>
        <v>0.0470303626268043</v>
      </c>
    </row>
    <row r="97" customFormat="false" ht="14.25" hidden="false" customHeight="true" outlineLevel="0" collapsed="false">
      <c r="A97" s="511" t="n">
        <v>43186</v>
      </c>
      <c r="B97" s="507" t="n">
        <v>2612.620117</v>
      </c>
      <c r="C97" s="518" t="n">
        <f aca="false">(B97-B96)/B96</f>
        <v>-0.017276308947908</v>
      </c>
      <c r="D97" s="512" t="n">
        <v>110.619552065996</v>
      </c>
      <c r="E97" s="518" t="n">
        <f aca="false">(D97-D96)/D96</f>
        <v>-0.0292112425039221</v>
      </c>
    </row>
    <row r="98" customFormat="false" ht="14.25" hidden="false" customHeight="true" outlineLevel="0" collapsed="false">
      <c r="A98" s="513" t="n">
        <v>43187</v>
      </c>
      <c r="B98" s="514" t="n">
        <v>2605</v>
      </c>
      <c r="C98" s="515" t="n">
        <f aca="false">(B98-B97)/B97</f>
        <v>-0.00291665709469845</v>
      </c>
      <c r="D98" s="516" t="n">
        <v>110.03572853797</v>
      </c>
      <c r="E98" s="515" t="n">
        <f aca="false">(D98-D97)/D97</f>
        <v>-0.00527776073146356</v>
      </c>
    </row>
    <row r="99" customFormat="false" ht="14.25" hidden="false" customHeight="true" outlineLevel="0" collapsed="false">
      <c r="A99" s="511" t="n">
        <v>43188</v>
      </c>
      <c r="B99" s="507" t="n">
        <v>2640.870117</v>
      </c>
      <c r="C99" s="518" t="n">
        <f aca="false">(B99-B98)/B98</f>
        <v>0.0137697186180422</v>
      </c>
      <c r="D99" s="512" t="n">
        <v>112.787203720337</v>
      </c>
      <c r="E99" s="518" t="n">
        <f aca="false">(D99-D98)/D98</f>
        <v>0.0250052889086616</v>
      </c>
    </row>
    <row r="100" customFormat="false" ht="14.25" hidden="false" customHeight="true" outlineLevel="0" collapsed="false">
      <c r="A100" s="513" t="n">
        <v>43192</v>
      </c>
      <c r="B100" s="514" t="n">
        <v>2581.879883</v>
      </c>
      <c r="C100" s="515" t="n">
        <f aca="false">(B100-B99)/B99</f>
        <v>-0.0223374234197523</v>
      </c>
      <c r="D100" s="516" t="n">
        <v>108.215480752805</v>
      </c>
      <c r="E100" s="515" t="n">
        <f aca="false">(D100-D99)/D99</f>
        <v>-0.040534057204467</v>
      </c>
    </row>
    <row r="101" customFormat="false" ht="14.25" hidden="false" customHeight="true" outlineLevel="0" collapsed="false">
      <c r="A101" s="511" t="n">
        <v>43193</v>
      </c>
      <c r="B101" s="507" t="n">
        <v>2614.449951</v>
      </c>
      <c r="C101" s="518" t="n">
        <f aca="false">(B101-B100)/B100</f>
        <v>0.0126148657086849</v>
      </c>
      <c r="D101" s="512" t="n">
        <v>110.54446479741</v>
      </c>
      <c r="E101" s="518" t="n">
        <f aca="false">(D101-D100)/D100</f>
        <v>0.0215217270985939</v>
      </c>
    </row>
    <row r="102" customFormat="false" ht="14.25" hidden="false" customHeight="true" outlineLevel="0" collapsed="false">
      <c r="A102" s="513" t="n">
        <v>43194</v>
      </c>
      <c r="B102" s="514" t="n">
        <v>2644.689941</v>
      </c>
      <c r="C102" s="515" t="n">
        <f aca="false">(B102-B101)/B101</f>
        <v>0.0115664826509429</v>
      </c>
      <c r="D102" s="516" t="n">
        <v>112.886388801929</v>
      </c>
      <c r="E102" s="515" t="n">
        <f aca="false">(D102-D101)/D101</f>
        <v>0.0211853574831715</v>
      </c>
    </row>
    <row r="103" customFormat="false" ht="14.25" hidden="false" customHeight="true" outlineLevel="0" collapsed="false">
      <c r="A103" s="511" t="n">
        <v>43195</v>
      </c>
      <c r="B103" s="507" t="n">
        <v>2662.840088</v>
      </c>
      <c r="C103" s="518" t="n">
        <f aca="false">(B103-B102)/B102</f>
        <v>0.00686286385357407</v>
      </c>
      <c r="D103" s="512" t="n">
        <v>114.300810973804</v>
      </c>
      <c r="E103" s="518" t="n">
        <f aca="false">(D103-D102)/D102</f>
        <v>0.0125296077488736</v>
      </c>
    </row>
    <row r="104" customFormat="false" ht="14.25" hidden="false" customHeight="true" outlineLevel="0" collapsed="false">
      <c r="A104" s="513" t="n">
        <v>43196</v>
      </c>
      <c r="B104" s="514" t="n">
        <v>2604.469971</v>
      </c>
      <c r="C104" s="515" t="n">
        <f aca="false">(B104-B103)/B103</f>
        <v>-0.0219202487085285</v>
      </c>
      <c r="D104" s="516" t="n">
        <v>110.201311765378</v>
      </c>
      <c r="E104" s="515" t="n">
        <f aca="false">(D104-D103)/D103</f>
        <v>-0.0358658803336536</v>
      </c>
    </row>
    <row r="105" customFormat="false" ht="14.25" hidden="false" customHeight="true" outlineLevel="0" collapsed="false">
      <c r="A105" s="511" t="n">
        <v>43199</v>
      </c>
      <c r="B105" s="507" t="n">
        <v>2613.159912</v>
      </c>
      <c r="C105" s="518" t="n">
        <f aca="false">(B105-B104)/B104</f>
        <v>0.00333654873995861</v>
      </c>
      <c r="D105" s="512" t="n">
        <v>110.831658601475</v>
      </c>
      <c r="E105" s="518" t="n">
        <f aca="false">(D105-D104)/D104</f>
        <v>0.00571995764840833</v>
      </c>
    </row>
    <row r="106" customFormat="false" ht="14.25" hidden="false" customHeight="true" outlineLevel="0" collapsed="false">
      <c r="A106" s="513" t="n">
        <v>43200</v>
      </c>
      <c r="B106" s="514" t="n">
        <v>2656.870117</v>
      </c>
      <c r="C106" s="515" t="n">
        <f aca="false">(B106-B105)/B105</f>
        <v>0.0167269537540647</v>
      </c>
      <c r="D106" s="516" t="n">
        <v>114.295629080288</v>
      </c>
      <c r="E106" s="515" t="n">
        <f aca="false">(D106-D105)/D105</f>
        <v>0.0312543412462014</v>
      </c>
    </row>
    <row r="107" customFormat="false" ht="14.25" hidden="false" customHeight="true" outlineLevel="0" collapsed="false">
      <c r="A107" s="511" t="n">
        <v>43201</v>
      </c>
      <c r="B107" s="507" t="n">
        <v>2642.189941</v>
      </c>
      <c r="C107" s="518" t="n">
        <f aca="false">(B107-B106)/B106</f>
        <v>-0.00552536456564762</v>
      </c>
      <c r="D107" s="512" t="n">
        <v>113.172013614157</v>
      </c>
      <c r="E107" s="518" t="n">
        <f aca="false">(D107-D106)/D106</f>
        <v>-0.0098307824644957</v>
      </c>
    </row>
    <row r="108" customFormat="false" ht="14.25" hidden="false" customHeight="true" outlineLevel="0" collapsed="false">
      <c r="A108" s="513" t="n">
        <v>43202</v>
      </c>
      <c r="B108" s="514" t="n">
        <v>2663.98999</v>
      </c>
      <c r="C108" s="515" t="n">
        <f aca="false">(B108-B107)/B107</f>
        <v>0.00825075013030637</v>
      </c>
      <c r="D108" s="516" t="n">
        <v>114.670836724873</v>
      </c>
      <c r="E108" s="515" t="n">
        <f aca="false">(D108-D107)/D107</f>
        <v>0.0132437610929679</v>
      </c>
    </row>
    <row r="109" customFormat="false" ht="14.25" hidden="false" customHeight="true" outlineLevel="0" collapsed="false">
      <c r="A109" s="511" t="n">
        <v>43203</v>
      </c>
      <c r="B109" s="507" t="n">
        <v>2656.300049</v>
      </c>
      <c r="C109" s="518" t="n">
        <f aca="false">(B109-B108)/B108</f>
        <v>-0.00288662533600589</v>
      </c>
      <c r="D109" s="512" t="n">
        <v>114.041546059253</v>
      </c>
      <c r="E109" s="518" t="n">
        <f aca="false">(D109-D108)/D108</f>
        <v>-0.005487800417205</v>
      </c>
    </row>
    <row r="110" customFormat="false" ht="14.25" hidden="false" customHeight="true" outlineLevel="0" collapsed="false">
      <c r="A110" s="513" t="n">
        <v>43206</v>
      </c>
      <c r="B110" s="514" t="n">
        <v>2677.840088</v>
      </c>
      <c r="C110" s="515" t="n">
        <f aca="false">(B110-B109)/B109</f>
        <v>0.00810903836263114</v>
      </c>
      <c r="D110" s="516" t="n">
        <v>115.569754394684</v>
      </c>
      <c r="E110" s="515" t="n">
        <f aca="false">(D110-D109)/D109</f>
        <v>0.0134004526265979</v>
      </c>
    </row>
    <row r="111" customFormat="false" ht="14.25" hidden="false" customHeight="true" outlineLevel="0" collapsed="false">
      <c r="A111" s="511" t="n">
        <v>43207</v>
      </c>
      <c r="B111" s="507" t="n">
        <v>2706.389893</v>
      </c>
      <c r="C111" s="518" t="n">
        <f aca="false">(B111-B110)/B110</f>
        <v>0.010661504817983</v>
      </c>
      <c r="D111" s="512" t="n">
        <v>117.673149270484</v>
      </c>
      <c r="E111" s="518" t="n">
        <f aca="false">(D111-D110)/D110</f>
        <v>0.018200219311851</v>
      </c>
    </row>
    <row r="112" customFormat="false" ht="14.25" hidden="false" customHeight="true" outlineLevel="0" collapsed="false">
      <c r="A112" s="513" t="n">
        <v>43208</v>
      </c>
      <c r="B112" s="514" t="n">
        <v>2708.639893</v>
      </c>
      <c r="C112" s="515" t="n">
        <f aca="false">(B112-B111)/B111</f>
        <v>0.000831365800552079</v>
      </c>
      <c r="D112" s="516" t="n">
        <v>117.837116944422</v>
      </c>
      <c r="E112" s="515" t="n">
        <f aca="false">(D112-D111)/D111</f>
        <v>0.00139341621223286</v>
      </c>
    </row>
    <row r="113" customFormat="false" ht="14.25" hidden="false" customHeight="true" outlineLevel="0" collapsed="false">
      <c r="A113" s="511" t="n">
        <v>43209</v>
      </c>
      <c r="B113" s="507" t="n">
        <v>2693.129883</v>
      </c>
      <c r="C113" s="518" t="n">
        <f aca="false">(B113-B112)/B112</f>
        <v>-0.00572612477578981</v>
      </c>
      <c r="D113" s="512" t="n">
        <v>116.670123024625</v>
      </c>
      <c r="E113" s="518" t="n">
        <f aca="false">(D113-D112)/D112</f>
        <v>-0.00990344935498895</v>
      </c>
    </row>
    <row r="114" customFormat="false" ht="14.25" hidden="false" customHeight="true" outlineLevel="0" collapsed="false">
      <c r="A114" s="513" t="n">
        <v>43210</v>
      </c>
      <c r="B114" s="514" t="n">
        <v>2670.139893</v>
      </c>
      <c r="C114" s="515" t="n">
        <f aca="false">(B114-B113)/B113</f>
        <v>-0.00853653221299169</v>
      </c>
      <c r="D114" s="516" t="n">
        <v>114.888398642382</v>
      </c>
      <c r="E114" s="515" t="n">
        <f aca="false">(D114-D113)/D113</f>
        <v>-0.0152714708449132</v>
      </c>
    </row>
    <row r="115" customFormat="false" ht="14.25" hidden="false" customHeight="true" outlineLevel="0" collapsed="false">
      <c r="A115" s="511" t="n">
        <v>43213</v>
      </c>
      <c r="B115" s="507" t="n">
        <v>2670.290039</v>
      </c>
      <c r="C115" s="518" t="n">
        <f aca="false">(B115-B114)/B114</f>
        <v>5.62315107135661E-005</v>
      </c>
      <c r="D115" s="512" t="n">
        <v>114.899615114461</v>
      </c>
      <c r="E115" s="518" t="n">
        <f aca="false">(D115-D114)/D114</f>
        <v>9.76292838227566E-005</v>
      </c>
    </row>
    <row r="116" customFormat="false" ht="14.25" hidden="false" customHeight="true" outlineLevel="0" collapsed="false">
      <c r="A116" s="513" t="n">
        <v>43214</v>
      </c>
      <c r="B116" s="514" t="n">
        <v>2634.560059</v>
      </c>
      <c r="C116" s="515" t="n">
        <f aca="false">(B116-B115)/B115</f>
        <v>-0.0133805614664168</v>
      </c>
      <c r="D116" s="516" t="n">
        <v>112.393564705204</v>
      </c>
      <c r="E116" s="515" t="n">
        <f aca="false">(D116-D115)/D115</f>
        <v>-0.0218107815832152</v>
      </c>
    </row>
    <row r="117" customFormat="false" ht="14.25" hidden="false" customHeight="true" outlineLevel="0" collapsed="false">
      <c r="A117" s="511" t="n">
        <v>43215</v>
      </c>
      <c r="B117" s="507" t="n">
        <v>2639.399902</v>
      </c>
      <c r="C117" s="518" t="n">
        <f aca="false">(B117-B116)/B116</f>
        <v>0.00183705927806302</v>
      </c>
      <c r="D117" s="512" t="n">
        <v>112.770048465187</v>
      </c>
      <c r="E117" s="518" t="n">
        <f aca="false">(D117-D116)/D116</f>
        <v>0.00334969142557653</v>
      </c>
    </row>
    <row r="118" customFormat="false" ht="14.25" hidden="false" customHeight="true" outlineLevel="0" collapsed="false">
      <c r="A118" s="513" t="n">
        <v>43216</v>
      </c>
      <c r="B118" s="514" t="n">
        <v>2666.939941</v>
      </c>
      <c r="C118" s="515" t="n">
        <f aca="false">(B118-B117)/B117</f>
        <v>0.0104342047520467</v>
      </c>
      <c r="D118" s="516" t="n">
        <v>114.7582150797</v>
      </c>
      <c r="E118" s="515" t="n">
        <f aca="false">(D118-D117)/D117</f>
        <v>0.0176302718813387</v>
      </c>
    </row>
    <row r="119" customFormat="false" ht="14.25" hidden="false" customHeight="true" outlineLevel="0" collapsed="false">
      <c r="A119" s="511" t="n">
        <v>43217</v>
      </c>
      <c r="B119" s="507" t="n">
        <v>2669.909912</v>
      </c>
      <c r="C119" s="518" t="n">
        <f aca="false">(B119-B118)/B118</f>
        <v>0.00111362500307613</v>
      </c>
      <c r="D119" s="512" t="n">
        <v>114.975140378004</v>
      </c>
      <c r="E119" s="518" t="n">
        <f aca="false">(D119-D118)/D118</f>
        <v>0.0018902812156267</v>
      </c>
    </row>
    <row r="120" customFormat="false" ht="14.25" hidden="false" customHeight="true" outlineLevel="0" collapsed="false">
      <c r="A120" s="513" t="n">
        <v>43220</v>
      </c>
      <c r="B120" s="514" t="n">
        <v>2648.050049</v>
      </c>
      <c r="C120" s="515" t="n">
        <f aca="false">(B120-B119)/B119</f>
        <v>-0.00818749085942947</v>
      </c>
      <c r="D120" s="516" t="n">
        <v>113.357951119112</v>
      </c>
      <c r="E120" s="515" t="n">
        <f aca="false">(D120-D119)/D119</f>
        <v>-0.0140655558547279</v>
      </c>
    </row>
    <row r="121" customFormat="false" ht="14.25" hidden="false" customHeight="true" outlineLevel="0" collapsed="false">
      <c r="A121" s="511" t="n">
        <v>43221</v>
      </c>
      <c r="B121" s="507" t="n">
        <v>2654.800049</v>
      </c>
      <c r="C121" s="518" t="n">
        <f aca="false">(B121-B120)/B120</f>
        <v>0.00254904547689688</v>
      </c>
      <c r="D121" s="512" t="n">
        <v>113.891424831326</v>
      </c>
      <c r="E121" s="518" t="n">
        <f aca="false">(D121-D120)/D120</f>
        <v>0.00470609875132139</v>
      </c>
    </row>
    <row r="122" customFormat="false" ht="14.25" hidden="false" customHeight="true" outlineLevel="0" collapsed="false">
      <c r="A122" s="513" t="n">
        <v>43222</v>
      </c>
      <c r="B122" s="514" t="n">
        <v>2635.669922</v>
      </c>
      <c r="C122" s="515" t="n">
        <f aca="false">(B122-B121)/B121</f>
        <v>-0.00720586358554791</v>
      </c>
      <c r="D122" s="516" t="n">
        <v>112.371812191312</v>
      </c>
      <c r="E122" s="515" t="n">
        <f aca="false">(D122-D121)/D121</f>
        <v>-0.0133426431556595</v>
      </c>
    </row>
    <row r="123" customFormat="false" ht="14.25" hidden="false" customHeight="true" outlineLevel="0" collapsed="false">
      <c r="A123" s="511" t="n">
        <v>43223</v>
      </c>
      <c r="B123" s="507" t="n">
        <v>2629.72998</v>
      </c>
      <c r="C123" s="518" t="n">
        <f aca="false">(B123-B122)/B122</f>
        <v>-0.00225367446447643</v>
      </c>
      <c r="D123" s="512" t="n">
        <v>111.905986249463</v>
      </c>
      <c r="E123" s="518" t="n">
        <f aca="false">(D123-D122)/D122</f>
        <v>-0.00414539850132469</v>
      </c>
    </row>
    <row r="124" customFormat="false" ht="14.25" hidden="false" customHeight="true" outlineLevel="0" collapsed="false">
      <c r="A124" s="513" t="n">
        <v>43224</v>
      </c>
      <c r="B124" s="514" t="n">
        <v>2663.419922</v>
      </c>
      <c r="C124" s="515" t="n">
        <f aca="false">(B124-B123)/B123</f>
        <v>0.0128111791918652</v>
      </c>
      <c r="D124" s="516" t="n">
        <v>114.590096813117</v>
      </c>
      <c r="E124" s="515" t="n">
        <f aca="false">(D124-D123)/D123</f>
        <v>0.0239854064434992</v>
      </c>
    </row>
    <row r="125" customFormat="false" ht="14.25" hidden="false" customHeight="true" outlineLevel="0" collapsed="false">
      <c r="A125" s="511" t="n">
        <v>43227</v>
      </c>
      <c r="B125" s="507" t="n">
        <v>2672.629883</v>
      </c>
      <c r="C125" s="518" t="n">
        <f aca="false">(B125-B124)/B124</f>
        <v>0.00345794552482138</v>
      </c>
      <c r="D125" s="512" t="n">
        <v>115.277419878948</v>
      </c>
      <c r="E125" s="518" t="n">
        <f aca="false">(D125-D124)/D124</f>
        <v>0.00599810179890098</v>
      </c>
    </row>
    <row r="126" customFormat="false" ht="14.25" hidden="false" customHeight="true" outlineLevel="0" collapsed="false">
      <c r="A126" s="513" t="n">
        <v>43228</v>
      </c>
      <c r="B126" s="514" t="n">
        <v>2671.919922</v>
      </c>
      <c r="C126" s="515" t="n">
        <f aca="false">(B126-B125)/B125</f>
        <v>-0.000265641346194594</v>
      </c>
      <c r="D126" s="516" t="n">
        <v>115.219727492268</v>
      </c>
      <c r="E126" s="515" t="n">
        <f aca="false">(D126-D125)/D125</f>
        <v>-0.000500465631001901</v>
      </c>
    </row>
    <row r="127" customFormat="false" ht="14.25" hidden="false" customHeight="true" outlineLevel="0" collapsed="false">
      <c r="A127" s="511" t="n">
        <v>43229</v>
      </c>
      <c r="B127" s="507" t="n">
        <v>2697.790039</v>
      </c>
      <c r="C127" s="518" t="n">
        <f aca="false">(B127-B126)/B126</f>
        <v>0.00968222018444157</v>
      </c>
      <c r="D127" s="512" t="n">
        <v>117.346572491695</v>
      </c>
      <c r="E127" s="518" t="n">
        <f aca="false">(D127-D126)/D126</f>
        <v>0.0184590351471689</v>
      </c>
    </row>
    <row r="128" customFormat="false" ht="14.25" hidden="false" customHeight="true" outlineLevel="0" collapsed="false">
      <c r="A128" s="513" t="n">
        <v>43230</v>
      </c>
      <c r="B128" s="514" t="n">
        <v>2723.070068</v>
      </c>
      <c r="C128" s="515" t="n">
        <f aca="false">(B128-B127)/B127</f>
        <v>0.0093706436136782</v>
      </c>
      <c r="D128" s="516" t="n">
        <v>119.307776701222</v>
      </c>
      <c r="E128" s="515" t="n">
        <f aca="false">(D128-D127)/D127</f>
        <v>0.0167129228224011</v>
      </c>
    </row>
    <row r="129" customFormat="false" ht="14.25" hidden="false" customHeight="true" outlineLevel="0" collapsed="false">
      <c r="A129" s="511" t="n">
        <v>43231</v>
      </c>
      <c r="B129" s="507" t="n">
        <v>2727.719971</v>
      </c>
      <c r="C129" s="518" t="n">
        <f aca="false">(B129-B128)/B128</f>
        <v>0.00170759579587873</v>
      </c>
      <c r="D129" s="512" t="n">
        <v>119.660278526262</v>
      </c>
      <c r="E129" s="518" t="n">
        <f aca="false">(D129-D128)/D128</f>
        <v>0.00295455866152602</v>
      </c>
    </row>
    <row r="130" customFormat="false" ht="14.25" hidden="false" customHeight="true" outlineLevel="0" collapsed="false">
      <c r="A130" s="513" t="n">
        <v>43234</v>
      </c>
      <c r="B130" s="514" t="n">
        <v>2730.129883</v>
      </c>
      <c r="C130" s="515" t="n">
        <f aca="false">(B130-B129)/B129</f>
        <v>0.00088348951711366</v>
      </c>
      <c r="D130" s="516" t="n">
        <v>119.834862039973</v>
      </c>
      <c r="E130" s="515" t="n">
        <f aca="false">(D130-D129)/D129</f>
        <v>0.00145899304147686</v>
      </c>
    </row>
    <row r="131" customFormat="false" ht="14.25" hidden="false" customHeight="true" outlineLevel="0" collapsed="false">
      <c r="A131" s="511" t="n">
        <v>43235</v>
      </c>
      <c r="B131" s="507" t="n">
        <v>2711.449951</v>
      </c>
      <c r="C131" s="518" t="n">
        <f aca="false">(B131-B130)/B130</f>
        <v>-0.00684214041109047</v>
      </c>
      <c r="D131" s="512" t="n">
        <v>118.363466365515</v>
      </c>
      <c r="E131" s="518" t="n">
        <f aca="false">(D131-D130)/D130</f>
        <v>-0.0122785277123046</v>
      </c>
    </row>
    <row r="132" customFormat="false" ht="14.25" hidden="false" customHeight="true" outlineLevel="0" collapsed="false">
      <c r="A132" s="513" t="n">
        <v>43236</v>
      </c>
      <c r="B132" s="514" t="n">
        <v>2722.459961</v>
      </c>
      <c r="C132" s="515" t="n">
        <f aca="false">(B132-B131)/B131</f>
        <v>0.00406056176546405</v>
      </c>
      <c r="D132" s="516" t="n">
        <v>119.283888915969</v>
      </c>
      <c r="E132" s="515" t="n">
        <f aca="false">(D132-D131)/D131</f>
        <v>0.0077762385533022</v>
      </c>
    </row>
    <row r="133" customFormat="false" ht="14.25" hidden="false" customHeight="true" outlineLevel="0" collapsed="false">
      <c r="A133" s="511" t="n">
        <v>43237</v>
      </c>
      <c r="B133" s="507" t="n">
        <v>2720.129883</v>
      </c>
      <c r="C133" s="518" t="n">
        <f aca="false">(B133-B132)/B132</f>
        <v>-0.000855872274846637</v>
      </c>
      <c r="D133" s="512" t="n">
        <v>119.107042731573</v>
      </c>
      <c r="E133" s="518" t="n">
        <f aca="false">(D133-D132)/D132</f>
        <v>-0.00148256555016059</v>
      </c>
    </row>
    <row r="134" customFormat="false" ht="14.25" hidden="false" customHeight="true" outlineLevel="0" collapsed="false">
      <c r="A134" s="513" t="n">
        <v>43238</v>
      </c>
      <c r="B134" s="514" t="n">
        <v>2712.969971</v>
      </c>
      <c r="C134" s="515" t="n">
        <f aca="false">(B134-B133)/B133</f>
        <v>-0.00263219489802579</v>
      </c>
      <c r="D134" s="516" t="n">
        <v>118.568494191044</v>
      </c>
      <c r="E134" s="515" t="n">
        <f aca="false">(D134-D133)/D133</f>
        <v>-0.00452155076793161</v>
      </c>
    </row>
    <row r="135" customFormat="false" ht="14.25" hidden="false" customHeight="true" outlineLevel="0" collapsed="false">
      <c r="A135" s="511" t="n">
        <v>43241</v>
      </c>
      <c r="B135" s="507" t="n">
        <v>2733.01001</v>
      </c>
      <c r="C135" s="518" t="n">
        <f aca="false">(B135-B134)/B134</f>
        <v>0.00738675297338924</v>
      </c>
      <c r="D135" s="512" t="n">
        <v>120.057837268861</v>
      </c>
      <c r="E135" s="518" t="n">
        <f aca="false">(D135-D134)/D134</f>
        <v>0.0125610356104994</v>
      </c>
    </row>
    <row r="136" customFormat="false" ht="14.25" hidden="false" customHeight="true" outlineLevel="0" collapsed="false">
      <c r="A136" s="513" t="n">
        <v>43242</v>
      </c>
      <c r="B136" s="514" t="n">
        <v>2724.439941</v>
      </c>
      <c r="C136" s="515" t="n">
        <f aca="false">(B136-B135)/B135</f>
        <v>-0.00313576202379144</v>
      </c>
      <c r="D136" s="516" t="n">
        <v>119.425775344088</v>
      </c>
      <c r="E136" s="515" t="n">
        <f aca="false">(D136-D135)/D135</f>
        <v>-0.00526464526724349</v>
      </c>
    </row>
    <row r="137" customFormat="false" ht="14.25" hidden="false" customHeight="true" outlineLevel="0" collapsed="false">
      <c r="A137" s="511" t="n">
        <v>43243</v>
      </c>
      <c r="B137" s="507" t="n">
        <v>2733.290039</v>
      </c>
      <c r="C137" s="518" t="n">
        <f aca="false">(B137-B136)/B136</f>
        <v>0.00324841001881344</v>
      </c>
      <c r="D137" s="512" t="n">
        <v>120.149776714907</v>
      </c>
      <c r="E137" s="518" t="n">
        <f aca="false">(D137-D136)/D136</f>
        <v>0.00606235436808367</v>
      </c>
    </row>
    <row r="138" customFormat="false" ht="14.25" hidden="false" customHeight="true" outlineLevel="0" collapsed="false">
      <c r="A138" s="513" t="n">
        <v>43244</v>
      </c>
      <c r="B138" s="514" t="n">
        <v>2727.76001</v>
      </c>
      <c r="C138" s="515" t="n">
        <f aca="false">(B138-B137)/B137</f>
        <v>-0.00202321338792982</v>
      </c>
      <c r="D138" s="516" t="n">
        <v>119.711298880533</v>
      </c>
      <c r="E138" s="515" t="n">
        <f aca="false">(D138-D137)/D137</f>
        <v>-0.00364942695993883</v>
      </c>
    </row>
    <row r="139" customFormat="false" ht="14.25" hidden="false" customHeight="true" outlineLevel="0" collapsed="false">
      <c r="A139" s="511" t="n">
        <v>43245</v>
      </c>
      <c r="B139" s="507" t="n">
        <v>2721.330078</v>
      </c>
      <c r="C139" s="518" t="n">
        <f aca="false">(B139-B138)/B138</f>
        <v>-0.00235722056794872</v>
      </c>
      <c r="D139" s="512" t="n">
        <v>119.214326147324</v>
      </c>
      <c r="E139" s="518" t="n">
        <f aca="false">(D139-D138)/D138</f>
        <v>-0.00415142712389204</v>
      </c>
    </row>
    <row r="140" customFormat="false" ht="14.25" hidden="false" customHeight="true" outlineLevel="0" collapsed="false">
      <c r="A140" s="513" t="n">
        <v>43249</v>
      </c>
      <c r="B140" s="514" t="n">
        <v>2689.860107</v>
      </c>
      <c r="C140" s="515" t="n">
        <f aca="false">(B140-B139)/B139</f>
        <v>-0.0115641874002761</v>
      </c>
      <c r="D140" s="516" t="n">
        <v>116.889774449756</v>
      </c>
      <c r="E140" s="515" t="n">
        <f aca="false">(D140-D139)/D139</f>
        <v>-0.0194989291362125</v>
      </c>
    </row>
    <row r="141" customFormat="false" ht="14.25" hidden="false" customHeight="true" outlineLevel="0" collapsed="false">
      <c r="A141" s="511" t="n">
        <v>43250</v>
      </c>
      <c r="B141" s="507" t="n">
        <v>2724.01001</v>
      </c>
      <c r="C141" s="518" t="n">
        <f aca="false">(B141-B140)/B140</f>
        <v>0.0126957914692773</v>
      </c>
      <c r="D141" s="512" t="n">
        <v>119.412299137366</v>
      </c>
      <c r="E141" s="518" t="n">
        <f aca="false">(D141-D140)/D140</f>
        <v>0.0215803709048501</v>
      </c>
    </row>
    <row r="142" customFormat="false" ht="14.25" hidden="false" customHeight="true" outlineLevel="0" collapsed="false">
      <c r="A142" s="513" t="n">
        <v>43251</v>
      </c>
      <c r="B142" s="514" t="n">
        <v>2705.27002</v>
      </c>
      <c r="C142" s="515" t="n">
        <f aca="false">(B142-B141)/B141</f>
        <v>-0.00687955988825461</v>
      </c>
      <c r="D142" s="516" t="n">
        <v>118.032994246649</v>
      </c>
      <c r="E142" s="515" t="n">
        <f aca="false">(D142-D141)/D141</f>
        <v>-0.0115507774381793</v>
      </c>
    </row>
    <row r="143" customFormat="false" ht="14.25" hidden="false" customHeight="true" outlineLevel="0" collapsed="false">
      <c r="A143" s="511" t="n">
        <v>43252</v>
      </c>
      <c r="B143" s="507" t="n">
        <v>2734.620117</v>
      </c>
      <c r="C143" s="518" t="n">
        <f aca="false">(B143-B142)/B142</f>
        <v>0.010849230126019</v>
      </c>
      <c r="D143" s="512" t="n">
        <v>120.368984389283</v>
      </c>
      <c r="E143" s="518" t="n">
        <f aca="false">(D143-D142)/D142</f>
        <v>0.0197909928282644</v>
      </c>
    </row>
    <row r="144" customFormat="false" ht="14.25" hidden="false" customHeight="true" outlineLevel="0" collapsed="false">
      <c r="A144" s="513" t="n">
        <v>43255</v>
      </c>
      <c r="B144" s="514" t="n">
        <v>2746.870117</v>
      </c>
      <c r="C144" s="515" t="n">
        <f aca="false">(B144-B143)/B143</f>
        <v>0.00447959843630449</v>
      </c>
      <c r="D144" s="516" t="n">
        <v>121.399716780652</v>
      </c>
      <c r="E144" s="515" t="n">
        <f aca="false">(D144-D143)/D143</f>
        <v>0.0085631061572766</v>
      </c>
    </row>
    <row r="145" customFormat="false" ht="14.25" hidden="false" customHeight="true" outlineLevel="0" collapsed="false">
      <c r="A145" s="511" t="n">
        <v>43256</v>
      </c>
      <c r="B145" s="507" t="n">
        <v>2748.800049</v>
      </c>
      <c r="C145" s="518" t="n">
        <f aca="false">(B145-B144)/B144</f>
        <v>0.000702593103349126</v>
      </c>
      <c r="D145" s="512" t="n">
        <v>121.563442684699</v>
      </c>
      <c r="E145" s="518" t="n">
        <f aca="false">(D145-D144)/D144</f>
        <v>0.001348651449845</v>
      </c>
    </row>
    <row r="146" customFormat="false" ht="14.25" hidden="false" customHeight="true" outlineLevel="0" collapsed="false">
      <c r="A146" s="513" t="n">
        <v>43257</v>
      </c>
      <c r="B146" s="514" t="n">
        <v>2772.350098</v>
      </c>
      <c r="C146" s="515" t="n">
        <f aca="false">(B146-B145)/B145</f>
        <v>0.00856739252772036</v>
      </c>
      <c r="D146" s="516" t="n">
        <v>123.275788391001</v>
      </c>
      <c r="E146" s="515" t="n">
        <f aca="false">(D146-D145)/D145</f>
        <v>0.0140860251115407</v>
      </c>
    </row>
    <row r="147" customFormat="false" ht="14.25" hidden="false" customHeight="true" outlineLevel="0" collapsed="false">
      <c r="A147" s="511" t="n">
        <v>43258</v>
      </c>
      <c r="B147" s="507" t="n">
        <v>2770.370117</v>
      </c>
      <c r="C147" s="518" t="n">
        <f aca="false">(B147-B146)/B146</f>
        <v>-0.000714188659443961</v>
      </c>
      <c r="D147" s="512" t="n">
        <v>123.120246395607</v>
      </c>
      <c r="E147" s="518" t="n">
        <f aca="false">(D147-D146)/D146</f>
        <v>-0.00126174001743685</v>
      </c>
    </row>
    <row r="148" customFormat="false" ht="14.25" hidden="false" customHeight="true" outlineLevel="0" collapsed="false">
      <c r="A148" s="513" t="n">
        <v>43259</v>
      </c>
      <c r="B148" s="514" t="n">
        <v>2779.030029</v>
      </c>
      <c r="C148" s="515" t="n">
        <f aca="false">(B148-B147)/B147</f>
        <v>0.00312590435005767</v>
      </c>
      <c r="D148" s="516" t="n">
        <v>123.797421197642</v>
      </c>
      <c r="E148" s="515" t="n">
        <f aca="false">(D148-D147)/D147</f>
        <v>0.00550010921728597</v>
      </c>
    </row>
    <row r="149" customFormat="false" ht="14.25" hidden="false" customHeight="true" outlineLevel="0" collapsed="false">
      <c r="A149" s="511" t="n">
        <v>43262</v>
      </c>
      <c r="B149" s="507" t="n">
        <v>2782</v>
      </c>
      <c r="C149" s="518" t="n">
        <f aca="false">(B149-B148)/B148</f>
        <v>0.00106870777537755</v>
      </c>
      <c r="D149" s="512" t="n">
        <v>124.045066076938</v>
      </c>
      <c r="E149" s="518" t="n">
        <f aca="false">(D149-D148)/D148</f>
        <v>0.00200040418370784</v>
      </c>
    </row>
    <row r="150" customFormat="false" ht="14.25" hidden="false" customHeight="true" outlineLevel="0" collapsed="false">
      <c r="A150" s="513" t="n">
        <v>43263</v>
      </c>
      <c r="B150" s="514" t="n">
        <v>2786.850098</v>
      </c>
      <c r="C150" s="515" t="n">
        <f aca="false">(B150-B149)/B149</f>
        <v>0.00174338533429184</v>
      </c>
      <c r="D150" s="516" t="n">
        <v>124.396946882598</v>
      </c>
      <c r="E150" s="515" t="n">
        <f aca="false">(D150-D149)/D149</f>
        <v>0.00283671746719657</v>
      </c>
    </row>
    <row r="151" customFormat="false" ht="14.25" hidden="false" customHeight="true" outlineLevel="0" collapsed="false">
      <c r="A151" s="511" t="n">
        <v>43264</v>
      </c>
      <c r="B151" s="507" t="n">
        <v>2775.629883</v>
      </c>
      <c r="C151" s="518" t="n">
        <f aca="false">(B151-B150)/B150</f>
        <v>-0.00402612792415785</v>
      </c>
      <c r="D151" s="512" t="n">
        <v>123.511827427718</v>
      </c>
      <c r="E151" s="518" t="n">
        <f aca="false">(D151-D150)/D150</f>
        <v>-0.00711528278676603</v>
      </c>
    </row>
    <row r="152" customFormat="false" ht="14.25" hidden="false" customHeight="true" outlineLevel="0" collapsed="false">
      <c r="A152" s="513" t="n">
        <v>43265</v>
      </c>
      <c r="B152" s="514" t="n">
        <v>2782.48999</v>
      </c>
      <c r="C152" s="515" t="n">
        <f aca="false">(B152-B151)/B151</f>
        <v>0.00247154962627269</v>
      </c>
      <c r="D152" s="516" t="n">
        <v>124.063968609065</v>
      </c>
      <c r="E152" s="515" t="n">
        <f aca="false">(D152-D151)/D151</f>
        <v>0.00447035067690277</v>
      </c>
    </row>
    <row r="153" customFormat="false" ht="14.25" hidden="false" customHeight="true" outlineLevel="0" collapsed="false">
      <c r="A153" s="511" t="n">
        <v>43266</v>
      </c>
      <c r="B153" s="507" t="n">
        <v>2779.659912</v>
      </c>
      <c r="C153" s="518" t="n">
        <f aca="false">(B153-B152)/B152</f>
        <v>-0.00101710267069099</v>
      </c>
      <c r="D153" s="512" t="n">
        <v>123.830403186208</v>
      </c>
      <c r="E153" s="518" t="n">
        <f aca="false">(D153-D152)/D152</f>
        <v>-0.00188262092109096</v>
      </c>
    </row>
    <row r="154" customFormat="false" ht="14.25" hidden="false" customHeight="true" outlineLevel="0" collapsed="false">
      <c r="A154" s="513" t="n">
        <v>43269</v>
      </c>
      <c r="B154" s="514" t="n">
        <v>2773.75</v>
      </c>
      <c r="C154" s="515" t="n">
        <f aca="false">(B154-B153)/B153</f>
        <v>-0.00212612772321051</v>
      </c>
      <c r="D154" s="516" t="n">
        <v>123.39136308751</v>
      </c>
      <c r="E154" s="515" t="n">
        <f aca="false">(D154-D153)/D153</f>
        <v>-0.00354549518859114</v>
      </c>
    </row>
    <row r="155" customFormat="false" ht="14.25" hidden="false" customHeight="true" outlineLevel="0" collapsed="false">
      <c r="A155" s="511" t="n">
        <v>43270</v>
      </c>
      <c r="B155" s="507" t="n">
        <v>2762.590088</v>
      </c>
      <c r="C155" s="518" t="n">
        <f aca="false">(B155-B154)/B154</f>
        <v>-0.00402340225326727</v>
      </c>
      <c r="D155" s="512" t="n">
        <v>122.572237353041</v>
      </c>
      <c r="E155" s="518" t="n">
        <f aca="false">(D155-D154)/D154</f>
        <v>-0.00663843654833497</v>
      </c>
    </row>
    <row r="156" customFormat="false" ht="14.25" hidden="false" customHeight="true" outlineLevel="0" collapsed="false">
      <c r="A156" s="513" t="n">
        <v>43271</v>
      </c>
      <c r="B156" s="514" t="n">
        <v>2767.320068</v>
      </c>
      <c r="C156" s="515" t="n">
        <f aca="false">(B156-B155)/B155</f>
        <v>0.00171215411962344</v>
      </c>
      <c r="D156" s="516" t="n">
        <v>122.943538695064</v>
      </c>
      <c r="E156" s="515" t="n">
        <f aca="false">(D156-D155)/D155</f>
        <v>0.00302924503983357</v>
      </c>
    </row>
    <row r="157" customFormat="false" ht="14.25" hidden="false" customHeight="true" outlineLevel="0" collapsed="false">
      <c r="A157" s="511" t="n">
        <v>43272</v>
      </c>
      <c r="B157" s="507" t="n">
        <v>2749.76001</v>
      </c>
      <c r="C157" s="518" t="n">
        <f aca="false">(B157-B156)/B156</f>
        <v>-0.00634551030184631</v>
      </c>
      <c r="D157" s="512" t="n">
        <v>121.672959105138</v>
      </c>
      <c r="E157" s="518" t="n">
        <f aca="false">(D157-D156)/D156</f>
        <v>-0.0103346593355948</v>
      </c>
    </row>
    <row r="158" customFormat="false" ht="14.25" hidden="false" customHeight="true" outlineLevel="0" collapsed="false">
      <c r="A158" s="513" t="n">
        <v>43273</v>
      </c>
      <c r="B158" s="514" t="n">
        <v>2754.879883</v>
      </c>
      <c r="C158" s="515" t="n">
        <f aca="false">(B158-B157)/B157</f>
        <v>0.00186193448933025</v>
      </c>
      <c r="D158" s="516" t="n">
        <v>122.068385408797</v>
      </c>
      <c r="E158" s="515" t="n">
        <f aca="false">(D158-D157)/D157</f>
        <v>0.00324991112706731</v>
      </c>
    </row>
    <row r="159" customFormat="false" ht="14.25" hidden="false" customHeight="true" outlineLevel="0" collapsed="false">
      <c r="A159" s="511" t="n">
        <v>43276</v>
      </c>
      <c r="B159" s="507" t="n">
        <v>2717.070068</v>
      </c>
      <c r="C159" s="518" t="n">
        <f aca="false">(B159-B158)/B158</f>
        <v>-0.0137246691709934</v>
      </c>
      <c r="D159" s="512" t="n">
        <v>119.143347666205</v>
      </c>
      <c r="E159" s="518" t="n">
        <f aca="false">(D159-D158)/D158</f>
        <v>-0.0239622874735034</v>
      </c>
    </row>
    <row r="160" customFormat="false" ht="14.25" hidden="false" customHeight="true" outlineLevel="0" collapsed="false">
      <c r="A160" s="513" t="n">
        <v>43277</v>
      </c>
      <c r="B160" s="514" t="n">
        <v>2723.060059</v>
      </c>
      <c r="C160" s="515" t="n">
        <f aca="false">(B160-B159)/B159</f>
        <v>0.00220457730205282</v>
      </c>
      <c r="D160" s="516" t="n">
        <v>119.590303654682</v>
      </c>
      <c r="E160" s="515" t="n">
        <f aca="false">(D160-D159)/D159</f>
        <v>0.00375141371492434</v>
      </c>
    </row>
    <row r="161" customFormat="false" ht="14.25" hidden="false" customHeight="true" outlineLevel="0" collapsed="false">
      <c r="A161" s="511" t="n">
        <v>43278</v>
      </c>
      <c r="B161" s="507" t="n">
        <v>2699.629883</v>
      </c>
      <c r="C161" s="518" t="n">
        <f aca="false">(B161-B160)/B160</f>
        <v>-0.00860435520787015</v>
      </c>
      <c r="D161" s="512" t="n">
        <v>117.914629677282</v>
      </c>
      <c r="E161" s="518" t="n">
        <f aca="false">(D161-D160)/D160</f>
        <v>-0.0140117879643364</v>
      </c>
    </row>
    <row r="162" customFormat="false" ht="14.25" hidden="false" customHeight="true" outlineLevel="0" collapsed="false">
      <c r="A162" s="513" t="n">
        <v>43279</v>
      </c>
      <c r="B162" s="514" t="n">
        <v>2716.310059</v>
      </c>
      <c r="C162" s="515" t="n">
        <f aca="false">(B162-B161)/B161</f>
        <v>0.00617868994006829</v>
      </c>
      <c r="D162" s="516" t="n">
        <v>119.2855072305</v>
      </c>
      <c r="E162" s="515" t="n">
        <f aca="false">(D162-D161)/D161</f>
        <v>0.0116260175431152</v>
      </c>
    </row>
    <row r="163" customFormat="false" ht="14.25" hidden="false" customHeight="true" outlineLevel="0" collapsed="false">
      <c r="A163" s="511" t="n">
        <v>43280</v>
      </c>
      <c r="B163" s="507" t="n">
        <v>2718.370117</v>
      </c>
      <c r="C163" s="518" t="n">
        <f aca="false">(B163-B162)/B162</f>
        <v>0.00075840311129961</v>
      </c>
      <c r="D163" s="512" t="n">
        <v>119.440602175464</v>
      </c>
      <c r="E163" s="518" t="n">
        <f aca="false">(D163-D162)/D162</f>
        <v>0.00130019940028671</v>
      </c>
    </row>
    <row r="164" customFormat="false" ht="14.25" hidden="false" customHeight="true" outlineLevel="0" collapsed="false">
      <c r="A164" s="513" t="n">
        <v>43283</v>
      </c>
      <c r="B164" s="514" t="n">
        <v>2726.709961</v>
      </c>
      <c r="C164" s="515" t="n">
        <f aca="false">(B164-B163)/B163</f>
        <v>0.00306795750433129</v>
      </c>
      <c r="D164" s="516" t="n">
        <v>120.083213683537</v>
      </c>
      <c r="E164" s="515" t="n">
        <f aca="false">(D164-D163)/D163</f>
        <v>0.00538017639201932</v>
      </c>
    </row>
    <row r="165" customFormat="false" ht="14.25" hidden="false" customHeight="true" outlineLevel="0" collapsed="false">
      <c r="A165" s="511" t="n">
        <v>43284</v>
      </c>
      <c r="B165" s="507" t="n">
        <v>2713.219971</v>
      </c>
      <c r="C165" s="518" t="n">
        <f aca="false">(B165-B164)/B164</f>
        <v>-0.00494735054074203</v>
      </c>
      <c r="D165" s="512" t="n">
        <v>119.112760892627</v>
      </c>
      <c r="E165" s="518" t="n">
        <f aca="false">(D165-D164)/D164</f>
        <v>-0.00808150249432447</v>
      </c>
    </row>
    <row r="166" customFormat="false" ht="14.25" hidden="false" customHeight="true" outlineLevel="0" collapsed="false">
      <c r="A166" s="513" t="n">
        <v>43286</v>
      </c>
      <c r="B166" s="514" t="n">
        <v>2736.610107</v>
      </c>
      <c r="C166" s="515" t="n">
        <f aca="false">(B166-B165)/B165</f>
        <v>0.0086208034180801</v>
      </c>
      <c r="D166" s="516" t="n">
        <v>120.774044545854</v>
      </c>
      <c r="E166" s="515" t="n">
        <f aca="false">(D166-D165)/D165</f>
        <v>0.0139471509246986</v>
      </c>
    </row>
    <row r="167" customFormat="false" ht="14.25" hidden="false" customHeight="true" outlineLevel="0" collapsed="false">
      <c r="A167" s="511" t="n">
        <v>43287</v>
      </c>
      <c r="B167" s="507" t="n">
        <v>2759.820068</v>
      </c>
      <c r="C167" s="518" t="n">
        <f aca="false">(B167-B166)/B166</f>
        <v>0.00848128161941339</v>
      </c>
      <c r="D167" s="512" t="n">
        <v>122.718499802021</v>
      </c>
      <c r="E167" s="518" t="n">
        <f aca="false">(D167-D166)/D166</f>
        <v>0.0160999431912604</v>
      </c>
    </row>
    <row r="168" customFormat="false" ht="14.25" hidden="false" customHeight="true" outlineLevel="0" collapsed="false">
      <c r="A168" s="513" t="n">
        <v>43290</v>
      </c>
      <c r="B168" s="514" t="n">
        <v>2784.169922</v>
      </c>
      <c r="C168" s="515" t="n">
        <f aca="false">(B168-B167)/B167</f>
        <v>0.00882298606432195</v>
      </c>
      <c r="D168" s="516" t="n">
        <v>124.698649735458</v>
      </c>
      <c r="E168" s="515" t="n">
        <f aca="false">(D168-D167)/D167</f>
        <v>0.0161357084435642</v>
      </c>
    </row>
    <row r="169" customFormat="false" ht="14.25" hidden="false" customHeight="true" outlineLevel="0" collapsed="false">
      <c r="A169" s="511" t="n">
        <v>43291</v>
      </c>
      <c r="B169" s="507" t="n">
        <v>2793.840088</v>
      </c>
      <c r="C169" s="518" t="n">
        <f aca="false">(B169-B168)/B168</f>
        <v>0.00347326717510595</v>
      </c>
      <c r="D169" s="512" t="n">
        <v>125.446295064434</v>
      </c>
      <c r="E169" s="518" t="n">
        <f aca="false">(D169-D168)/D168</f>
        <v>0.00599561687766535</v>
      </c>
    </row>
    <row r="170" customFormat="false" ht="14.25" hidden="false" customHeight="true" outlineLevel="0" collapsed="false">
      <c r="A170" s="513" t="n">
        <v>43292</v>
      </c>
      <c r="B170" s="514" t="n">
        <v>2774.02002</v>
      </c>
      <c r="C170" s="515" t="n">
        <f aca="false">(B170-B169)/B169</f>
        <v>-0.00709420273734722</v>
      </c>
      <c r="D170" s="516" t="n">
        <v>124.018482123475</v>
      </c>
      <c r="E170" s="515" t="n">
        <f aca="false">(D170-D169)/D169</f>
        <v>-0.0113818661621343</v>
      </c>
    </row>
    <row r="171" customFormat="false" ht="14.25" hidden="false" customHeight="true" outlineLevel="0" collapsed="false">
      <c r="A171" s="511" t="n">
        <v>43293</v>
      </c>
      <c r="B171" s="507" t="n">
        <v>2798.290039</v>
      </c>
      <c r="C171" s="518" t="n">
        <f aca="false">(B171-B170)/B170</f>
        <v>0.00874904248167612</v>
      </c>
      <c r="D171" s="512" t="n">
        <v>125.963850102791</v>
      </c>
      <c r="E171" s="518" t="n">
        <f aca="false">(D171-D170)/D170</f>
        <v>0.015686113440569</v>
      </c>
    </row>
    <row r="172" customFormat="false" ht="14.25" hidden="false" customHeight="true" outlineLevel="0" collapsed="false">
      <c r="A172" s="513" t="n">
        <v>43294</v>
      </c>
      <c r="B172" s="514" t="n">
        <v>2801.310059</v>
      </c>
      <c r="C172" s="515" t="n">
        <f aca="false">(B172-B171)/B171</f>
        <v>0.00107923766225433</v>
      </c>
      <c r="D172" s="516" t="n">
        <v>126.189888755986</v>
      </c>
      <c r="E172" s="515" t="n">
        <f aca="false">(D172-D171)/D171</f>
        <v>0.00179447240625425</v>
      </c>
    </row>
    <row r="173" customFormat="false" ht="14.25" hidden="false" customHeight="true" outlineLevel="0" collapsed="false">
      <c r="A173" s="511" t="n">
        <v>43297</v>
      </c>
      <c r="B173" s="507" t="n">
        <v>2798.429932</v>
      </c>
      <c r="C173" s="518" t="n">
        <f aca="false">(B173-B172)/B172</f>
        <v>-0.00102813574339859</v>
      </c>
      <c r="D173" s="512" t="n">
        <v>125.961260178463</v>
      </c>
      <c r="E173" s="518" t="n">
        <f aca="false">(D173-D172)/D172</f>
        <v>-0.00181178206730265</v>
      </c>
    </row>
    <row r="174" customFormat="false" ht="14.25" hidden="false" customHeight="true" outlineLevel="0" collapsed="false">
      <c r="A174" s="513" t="n">
        <v>43298</v>
      </c>
      <c r="B174" s="514" t="n">
        <v>2809.550049</v>
      </c>
      <c r="C174" s="515" t="n">
        <f aca="false">(B174-B173)/B173</f>
        <v>0.00397369856319845</v>
      </c>
      <c r="D174" s="516" t="n">
        <v>126.88140984474</v>
      </c>
      <c r="E174" s="515" t="n">
        <f aca="false">(D174-D173)/D173</f>
        <v>0.00730502112294952</v>
      </c>
    </row>
    <row r="175" customFormat="false" ht="14.25" hidden="false" customHeight="true" outlineLevel="0" collapsed="false">
      <c r="A175" s="511" t="n">
        <v>43299</v>
      </c>
      <c r="B175" s="507" t="n">
        <v>2815.620117</v>
      </c>
      <c r="C175" s="518" t="n">
        <f aca="false">(B175-B174)/B174</f>
        <v>0.00216051249991453</v>
      </c>
      <c r="D175" s="512" t="n">
        <v>127.337744947003</v>
      </c>
      <c r="E175" s="518" t="n">
        <f aca="false">(D175-D174)/D174</f>
        <v>0.00359654816904539</v>
      </c>
    </row>
    <row r="176" customFormat="false" ht="14.25" hidden="false" customHeight="true" outlineLevel="0" collapsed="false">
      <c r="A176" s="513" t="n">
        <v>43300</v>
      </c>
      <c r="B176" s="514" t="n">
        <v>2804.48999</v>
      </c>
      <c r="C176" s="515" t="n">
        <f aca="false">(B176-B175)/B175</f>
        <v>-0.0039529931373906</v>
      </c>
      <c r="D176" s="516" t="n">
        <v>126.373747411466</v>
      </c>
      <c r="E176" s="515" t="n">
        <f aca="false">(D176-D175)/D175</f>
        <v>-0.00757039898843986</v>
      </c>
    </row>
    <row r="177" customFormat="false" ht="14.25" hidden="false" customHeight="true" outlineLevel="0" collapsed="false">
      <c r="A177" s="511" t="n">
        <v>43301</v>
      </c>
      <c r="B177" s="507" t="n">
        <v>2801.830078</v>
      </c>
      <c r="C177" s="518" t="n">
        <f aca="false">(B177-B176)/B176</f>
        <v>-0.000948447671228834</v>
      </c>
      <c r="D177" s="512" t="n">
        <v>126.172487224482</v>
      </c>
      <c r="E177" s="518" t="n">
        <f aca="false">(D177-D176)/D176</f>
        <v>-0.0015925790847106</v>
      </c>
    </row>
    <row r="178" customFormat="false" ht="14.25" hidden="false" customHeight="true" outlineLevel="0" collapsed="false">
      <c r="A178" s="513" t="n">
        <v>43304</v>
      </c>
      <c r="B178" s="514" t="n">
        <v>2806.97998</v>
      </c>
      <c r="C178" s="515" t="n">
        <f aca="false">(B178-B177)/B177</f>
        <v>0.00183804936653268</v>
      </c>
      <c r="D178" s="516" t="n">
        <v>126.595462243512</v>
      </c>
      <c r="E178" s="515" t="n">
        <f aca="false">(D178-D177)/D177</f>
        <v>0.00335235540120139</v>
      </c>
    </row>
    <row r="179" customFormat="false" ht="14.25" hidden="false" customHeight="true" outlineLevel="0" collapsed="false">
      <c r="A179" s="511" t="n">
        <v>43305</v>
      </c>
      <c r="B179" s="507" t="n">
        <v>2820.399902</v>
      </c>
      <c r="C179" s="518" t="n">
        <f aca="false">(B179-B178)/B178</f>
        <v>0.00478091119125119</v>
      </c>
      <c r="D179" s="512" t="n">
        <v>127.720488016501</v>
      </c>
      <c r="E179" s="518" t="n">
        <f aca="false">(D179-D178)/D178</f>
        <v>0.00888677803336232</v>
      </c>
    </row>
    <row r="180" customFormat="false" ht="14.25" hidden="false" customHeight="true" outlineLevel="0" collapsed="false">
      <c r="A180" s="513" t="n">
        <v>43306</v>
      </c>
      <c r="B180" s="514" t="n">
        <v>2846.070068</v>
      </c>
      <c r="C180" s="515" t="n">
        <f aca="false">(B180-B179)/B179</f>
        <v>0.00910160505316876</v>
      </c>
      <c r="D180" s="516" t="n">
        <v>129.700910516574</v>
      </c>
      <c r="E180" s="515" t="n">
        <f aca="false">(D180-D179)/D179</f>
        <v>0.0155059108435065</v>
      </c>
    </row>
    <row r="181" customFormat="false" ht="14.25" hidden="false" customHeight="true" outlineLevel="0" collapsed="false">
      <c r="A181" s="511" t="n">
        <v>43307</v>
      </c>
      <c r="B181" s="507" t="n">
        <v>2837.439941</v>
      </c>
      <c r="C181" s="518" t="n">
        <f aca="false">(B181-B180)/B180</f>
        <v>-0.00303229604113875</v>
      </c>
      <c r="D181" s="512" t="n">
        <v>128.97196644202</v>
      </c>
      <c r="E181" s="518" t="n">
        <f aca="false">(D181-D180)/D180</f>
        <v>-0.00562019242309671</v>
      </c>
    </row>
    <row r="182" customFormat="false" ht="14.25" hidden="false" customHeight="true" outlineLevel="0" collapsed="false">
      <c r="A182" s="513" t="n">
        <v>43308</v>
      </c>
      <c r="B182" s="514" t="n">
        <v>2818.820068</v>
      </c>
      <c r="C182" s="515" t="n">
        <f aca="false">(B182-B181)/B181</f>
        <v>-0.00656220867654308</v>
      </c>
      <c r="D182" s="516" t="n">
        <v>127.567921170719</v>
      </c>
      <c r="E182" s="515" t="n">
        <f aca="false">(D182-D181)/D181</f>
        <v>-0.0108864376502486</v>
      </c>
    </row>
    <row r="183" customFormat="false" ht="14.25" hidden="false" customHeight="true" outlineLevel="0" collapsed="false">
      <c r="A183" s="511" t="n">
        <v>43311</v>
      </c>
      <c r="B183" s="507" t="n">
        <v>2802.600098</v>
      </c>
      <c r="C183" s="518" t="n">
        <f aca="false">(B183-B182)/B182</f>
        <v>-0.00575417004587613</v>
      </c>
      <c r="D183" s="512" t="n">
        <v>126.377676801819</v>
      </c>
      <c r="E183" s="518" t="n">
        <f aca="false">(D183-D182)/D182</f>
        <v>-0.00933027957167336</v>
      </c>
    </row>
    <row r="184" customFormat="false" ht="14.25" hidden="false" customHeight="true" outlineLevel="0" collapsed="false">
      <c r="A184" s="513" t="n">
        <v>43312</v>
      </c>
      <c r="B184" s="514" t="n">
        <v>2816.290039</v>
      </c>
      <c r="C184" s="515" t="n">
        <f aca="false">(B184-B183)/B183</f>
        <v>0.0048847286524287</v>
      </c>
      <c r="D184" s="516" t="n">
        <v>127.465035614277</v>
      </c>
      <c r="E184" s="515" t="n">
        <f aca="false">(D184-D183)/D183</f>
        <v>0.00860404178946215</v>
      </c>
    </row>
    <row r="185" customFormat="false" ht="14.25" hidden="false" customHeight="true" outlineLevel="0" collapsed="false">
      <c r="A185" s="511" t="n">
        <v>43313</v>
      </c>
      <c r="B185" s="507" t="n">
        <v>2813.360107</v>
      </c>
      <c r="C185" s="518" t="n">
        <f aca="false">(B185-B184)/B184</f>
        <v>-0.00104035165392282</v>
      </c>
      <c r="D185" s="512" t="n">
        <v>127.230766464983</v>
      </c>
      <c r="E185" s="518" t="n">
        <f aca="false">(D185-D184)/D184</f>
        <v>-0.0018379091031906</v>
      </c>
    </row>
    <row r="186" customFormat="false" ht="14.25" hidden="false" customHeight="true" outlineLevel="0" collapsed="false">
      <c r="A186" s="513" t="n">
        <v>43314</v>
      </c>
      <c r="B186" s="514" t="n">
        <v>2827.219971</v>
      </c>
      <c r="C186" s="515" t="n">
        <f aca="false">(B186-B185)/B185</f>
        <v>0.00492644505959792</v>
      </c>
      <c r="D186" s="516" t="n">
        <v>128.334957415549</v>
      </c>
      <c r="E186" s="515" t="n">
        <f aca="false">(D186-D185)/D185</f>
        <v>0.00867864732128221</v>
      </c>
    </row>
    <row r="187" customFormat="false" ht="14.25" hidden="false" customHeight="true" outlineLevel="0" collapsed="false">
      <c r="A187" s="511" t="n">
        <v>43315</v>
      </c>
      <c r="B187" s="507" t="n">
        <v>2840.350098</v>
      </c>
      <c r="C187" s="518" t="n">
        <f aca="false">(B187-B186)/B186</f>
        <v>0.0046441830259694</v>
      </c>
      <c r="D187" s="512" t="n">
        <v>129.429233394975</v>
      </c>
      <c r="E187" s="518" t="n">
        <f aca="false">(D187-D186)/D186</f>
        <v>0.00852671790650709</v>
      </c>
    </row>
    <row r="188" customFormat="false" ht="14.25" hidden="false" customHeight="true" outlineLevel="0" collapsed="false">
      <c r="A188" s="513" t="n">
        <v>43318</v>
      </c>
      <c r="B188" s="514" t="n">
        <v>2850.399902</v>
      </c>
      <c r="C188" s="515" t="n">
        <f aca="false">(B188-B187)/B187</f>
        <v>0.00353822720906014</v>
      </c>
      <c r="D188" s="516" t="n">
        <v>130.217730928833</v>
      </c>
      <c r="E188" s="515" t="n">
        <f aca="false">(D188-D187)/D187</f>
        <v>0.00609211314303129</v>
      </c>
    </row>
    <row r="189" customFormat="false" ht="14.25" hidden="false" customHeight="true" outlineLevel="0" collapsed="false">
      <c r="A189" s="511" t="n">
        <v>43319</v>
      </c>
      <c r="B189" s="507" t="n">
        <v>2858.449951</v>
      </c>
      <c r="C189" s="518" t="n">
        <f aca="false">(B189-B188)/B188</f>
        <v>0.00282418231713788</v>
      </c>
      <c r="D189" s="512" t="n">
        <v>130.827716714342</v>
      </c>
      <c r="E189" s="518" t="n">
        <f aca="false">(D189-D188)/D188</f>
        <v>0.00468435274641952</v>
      </c>
    </row>
    <row r="190" customFormat="false" ht="14.25" hidden="false" customHeight="true" outlineLevel="0" collapsed="false">
      <c r="A190" s="513" t="n">
        <v>43320</v>
      </c>
      <c r="B190" s="514" t="n">
        <v>2857.699951</v>
      </c>
      <c r="C190" s="515" t="n">
        <f aca="false">(B190-B189)/B189</f>
        <v>-0.000262379965665524</v>
      </c>
      <c r="D190" s="516" t="n">
        <v>130.767148010415</v>
      </c>
      <c r="E190" s="515" t="n">
        <f aca="false">(D190-D189)/D189</f>
        <v>-0.000462965382627789</v>
      </c>
    </row>
    <row r="191" customFormat="false" ht="14.25" hidden="false" customHeight="true" outlineLevel="0" collapsed="false">
      <c r="A191" s="511" t="n">
        <v>43321</v>
      </c>
      <c r="B191" s="507" t="n">
        <v>2853.580078</v>
      </c>
      <c r="C191" s="518" t="n">
        <f aca="false">(B191-B190)/B190</f>
        <v>-0.00144167444820735</v>
      </c>
      <c r="D191" s="512" t="n">
        <v>130.420071935114</v>
      </c>
      <c r="E191" s="518" t="n">
        <f aca="false">(D191-D190)/D190</f>
        <v>-0.00265415343671303</v>
      </c>
    </row>
    <row r="192" customFormat="false" ht="14.25" hidden="false" customHeight="true" outlineLevel="0" collapsed="false">
      <c r="A192" s="513" t="n">
        <v>43322</v>
      </c>
      <c r="B192" s="514" t="n">
        <v>2833.280029</v>
      </c>
      <c r="C192" s="515" t="n">
        <f aca="false">(B192-B191)/B191</f>
        <v>-0.00711388797409454</v>
      </c>
      <c r="D192" s="516" t="n">
        <v>128.849209857237</v>
      </c>
      <c r="E192" s="515" t="n">
        <f aca="false">(D192-D191)/D191</f>
        <v>-0.0120446343463031</v>
      </c>
    </row>
    <row r="193" customFormat="false" ht="14.25" hidden="false" customHeight="true" outlineLevel="0" collapsed="false">
      <c r="A193" s="511" t="n">
        <v>43325</v>
      </c>
      <c r="B193" s="507" t="n">
        <v>2821.929932</v>
      </c>
      <c r="C193" s="518" t="n">
        <f aca="false">(B193-B192)/B192</f>
        <v>-0.00400599195414016</v>
      </c>
      <c r="D193" s="512" t="n">
        <v>127.932006232668</v>
      </c>
      <c r="E193" s="518" t="n">
        <f aca="false">(D193-D192)/D192</f>
        <v>-0.007118426458224</v>
      </c>
    </row>
    <row r="194" customFormat="false" ht="14.25" hidden="false" customHeight="true" outlineLevel="0" collapsed="false">
      <c r="A194" s="513" t="n">
        <v>43326</v>
      </c>
      <c r="B194" s="514" t="n">
        <v>2839.959961</v>
      </c>
      <c r="C194" s="515" t="n">
        <f aca="false">(B194-B193)/B193</f>
        <v>0.00638925467126021</v>
      </c>
      <c r="D194" s="516" t="n">
        <v>129.379321454774</v>
      </c>
      <c r="E194" s="515" t="n">
        <f aca="false">(D194-D193)/D193</f>
        <v>0.0113131597379453</v>
      </c>
    </row>
    <row r="195" customFormat="false" ht="14.25" hidden="false" customHeight="true" outlineLevel="0" collapsed="false">
      <c r="A195" s="511" t="n">
        <v>43327</v>
      </c>
      <c r="B195" s="507" t="n">
        <v>2818.370117</v>
      </c>
      <c r="C195" s="518" t="n">
        <f aca="false">(B195-B194)/B194</f>
        <v>-0.00760216492362023</v>
      </c>
      <c r="D195" s="512" t="n">
        <v>127.594735530852</v>
      </c>
      <c r="E195" s="518" t="n">
        <f aca="false">(D195-D194)/D194</f>
        <v>-0.0137934401251733</v>
      </c>
    </row>
    <row r="196" customFormat="false" ht="14.25" hidden="false" customHeight="true" outlineLevel="0" collapsed="false">
      <c r="A196" s="513" t="n">
        <v>43328</v>
      </c>
      <c r="B196" s="514" t="n">
        <v>2840.689941</v>
      </c>
      <c r="C196" s="515" t="n">
        <f aca="false">(B196-B195)/B195</f>
        <v>0.00791940840749418</v>
      </c>
      <c r="D196" s="516" t="n">
        <v>129.242329447607</v>
      </c>
      <c r="E196" s="515" t="n">
        <f aca="false">(D196-D195)/D195</f>
        <v>0.0129127107783896</v>
      </c>
    </row>
    <row r="197" customFormat="false" ht="14.25" hidden="false" customHeight="true" outlineLevel="0" collapsed="false">
      <c r="A197" s="511" t="n">
        <v>43329</v>
      </c>
      <c r="B197" s="507" t="n">
        <v>2850.129883</v>
      </c>
      <c r="C197" s="518" t="n">
        <f aca="false">(B197-B196)/B196</f>
        <v>0.00332311593171512</v>
      </c>
      <c r="D197" s="512" t="n">
        <v>130.007787041106</v>
      </c>
      <c r="E197" s="518" t="n">
        <f aca="false">(D197-D196)/D196</f>
        <v>0.0059226539537831</v>
      </c>
    </row>
    <row r="198" customFormat="false" ht="14.25" hidden="false" customHeight="true" outlineLevel="0" collapsed="false">
      <c r="A198" s="513" t="n">
        <v>43332</v>
      </c>
      <c r="B198" s="514" t="n">
        <v>2857.050049</v>
      </c>
      <c r="C198" s="515" t="n">
        <f aca="false">(B198-B197)/B197</f>
        <v>0.0024280177690414</v>
      </c>
      <c r="D198" s="516" t="n">
        <v>130.553516758273</v>
      </c>
      <c r="E198" s="515" t="n">
        <f aca="false">(D198-D197)/D197</f>
        <v>0.00419766945955652</v>
      </c>
    </row>
    <row r="199" customFormat="false" ht="14.25" hidden="false" customHeight="true" outlineLevel="0" collapsed="false">
      <c r="A199" s="511" t="n">
        <v>43333</v>
      </c>
      <c r="B199" s="507" t="n">
        <v>2862.959961</v>
      </c>
      <c r="C199" s="518" t="n">
        <f aca="false">(B199-B198)/B198</f>
        <v>0.00206853639195737</v>
      </c>
      <c r="D199" s="512" t="n">
        <v>131.018744181848</v>
      </c>
      <c r="E199" s="518" t="n">
        <f aca="false">(D199-D198)/D198</f>
        <v>0.00356349974421914</v>
      </c>
    </row>
    <row r="200" customFormat="false" ht="14.25" hidden="false" customHeight="true" outlineLevel="0" collapsed="false">
      <c r="A200" s="513" t="n">
        <v>43334</v>
      </c>
      <c r="B200" s="514" t="n">
        <v>2861.820068</v>
      </c>
      <c r="C200" s="515" t="n">
        <f aca="false">(B200-B199)/B199</f>
        <v>-0.000398151918129472</v>
      </c>
      <c r="D200" s="516" t="n">
        <v>130.933983533944</v>
      </c>
      <c r="E200" s="515" t="n">
        <f aca="false">(D200-D199)/D199</f>
        <v>-0.000646935279629619</v>
      </c>
    </row>
    <row r="201" customFormat="false" ht="14.25" hidden="false" customHeight="true" outlineLevel="0" collapsed="false">
      <c r="A201" s="511" t="n">
        <v>43335</v>
      </c>
      <c r="B201" s="507" t="n">
        <v>2856.97998</v>
      </c>
      <c r="C201" s="518" t="n">
        <f aca="false">(B201-B200)/B200</f>
        <v>-0.00169126216358614</v>
      </c>
      <c r="D201" s="512" t="n">
        <v>130.569770925507</v>
      </c>
      <c r="E201" s="518" t="n">
        <f aca="false">(D201-D200)/D200</f>
        <v>-0.00278165071134947</v>
      </c>
    </row>
    <row r="202" customFormat="false" ht="14.25" hidden="false" customHeight="true" outlineLevel="0" collapsed="false">
      <c r="A202" s="513" t="n">
        <v>43336</v>
      </c>
      <c r="B202" s="514" t="n">
        <v>2874.689941</v>
      </c>
      <c r="C202" s="515" t="n">
        <f aca="false">(B202-B201)/B201</f>
        <v>0.00619883972725634</v>
      </c>
      <c r="D202" s="516" t="n">
        <v>131.873624941842</v>
      </c>
      <c r="E202" s="515" t="n">
        <f aca="false">(D202-D201)/D201</f>
        <v>0.00998587963425997</v>
      </c>
    </row>
    <row r="203" customFormat="false" ht="14.25" hidden="false" customHeight="true" outlineLevel="0" collapsed="false">
      <c r="A203" s="511" t="n">
        <v>43339</v>
      </c>
      <c r="B203" s="507" t="n">
        <v>2896.73999</v>
      </c>
      <c r="C203" s="518" t="n">
        <f aca="false">(B203-B202)/B202</f>
        <v>0.00767040948852019</v>
      </c>
      <c r="D203" s="512" t="n">
        <v>133.599785780931</v>
      </c>
      <c r="E203" s="518" t="n">
        <f aca="false">(D203-D202)/D202</f>
        <v>0.0130895077757229</v>
      </c>
    </row>
    <row r="204" customFormat="false" ht="14.25" hidden="false" customHeight="true" outlineLevel="0" collapsed="false">
      <c r="A204" s="513" t="n">
        <v>43340</v>
      </c>
      <c r="B204" s="514" t="n">
        <v>2897.52002</v>
      </c>
      <c r="C204" s="515" t="n">
        <f aca="false">(B204-B203)/B203</f>
        <v>0.000269278569251187</v>
      </c>
      <c r="D204" s="516" t="n">
        <v>133.663383493393</v>
      </c>
      <c r="E204" s="515" t="n">
        <f aca="false">(D204-D203)/D203</f>
        <v>0.000476031545187478</v>
      </c>
    </row>
    <row r="205" customFormat="false" ht="14.25" hidden="false" customHeight="true" outlineLevel="0" collapsed="false">
      <c r="A205" s="511" t="n">
        <v>43341</v>
      </c>
      <c r="B205" s="507" t="n">
        <v>2914.040039</v>
      </c>
      <c r="C205" s="518" t="n">
        <f aca="false">(B205-B204)/B204</f>
        <v>0.00570143394557117</v>
      </c>
      <c r="D205" s="512" t="n">
        <v>134.99414350338</v>
      </c>
      <c r="E205" s="518" t="n">
        <f aca="false">(D205-D204)/D204</f>
        <v>0.00995605509307467</v>
      </c>
    </row>
    <row r="206" customFormat="false" ht="14.25" hidden="false" customHeight="true" outlineLevel="0" collapsed="false">
      <c r="A206" s="513" t="n">
        <v>43342</v>
      </c>
      <c r="B206" s="514" t="n">
        <v>2901.129883</v>
      </c>
      <c r="C206" s="515" t="n">
        <f aca="false">(B206-B205)/B205</f>
        <v>-0.0044303289684483</v>
      </c>
      <c r="D206" s="516" t="n">
        <v>133.879018762748</v>
      </c>
      <c r="E206" s="515" t="n">
        <f aca="false">(D206-D205)/D205</f>
        <v>-0.00826054161826725</v>
      </c>
    </row>
    <row r="207" customFormat="false" ht="14.25" hidden="false" customHeight="true" outlineLevel="0" collapsed="false">
      <c r="A207" s="511" t="n">
        <v>43343</v>
      </c>
      <c r="B207" s="507" t="n">
        <v>2901.52002</v>
      </c>
      <c r="C207" s="518" t="n">
        <f aca="false">(B207-B206)/B206</f>
        <v>0.000134477605530861</v>
      </c>
      <c r="D207" s="512" t="n">
        <v>133.912119397888</v>
      </c>
      <c r="E207" s="518" t="n">
        <f aca="false">(D207-D206)/D206</f>
        <v>0.000247242887241915</v>
      </c>
    </row>
    <row r="208" customFormat="false" ht="14.25" hidden="false" customHeight="true" outlineLevel="0" collapsed="false">
      <c r="A208" s="513" t="n">
        <v>43347</v>
      </c>
      <c r="B208" s="514" t="n">
        <v>2896.719971</v>
      </c>
      <c r="C208" s="515" t="n">
        <f aca="false">(B208-B207)/B207</f>
        <v>-0.00165432220591742</v>
      </c>
      <c r="D208" s="516" t="n">
        <v>133.526548440018</v>
      </c>
      <c r="E208" s="515" t="n">
        <f aca="false">(D208-D207)/D207</f>
        <v>-0.0028792835152163</v>
      </c>
    </row>
    <row r="209" customFormat="false" ht="14.25" hidden="false" customHeight="true" outlineLevel="0" collapsed="false">
      <c r="A209" s="511" t="n">
        <v>43348</v>
      </c>
      <c r="B209" s="507" t="n">
        <v>2888.600098</v>
      </c>
      <c r="C209" s="518" t="n">
        <f aca="false">(B209-B208)/B208</f>
        <v>-0.00280312666784873</v>
      </c>
      <c r="D209" s="512" t="n">
        <v>132.881908952581</v>
      </c>
      <c r="E209" s="518" t="n">
        <f aca="false">(D209-D208)/D208</f>
        <v>-0.00482780012640386</v>
      </c>
    </row>
    <row r="210" customFormat="false" ht="14.25" hidden="false" customHeight="true" outlineLevel="0" collapsed="false">
      <c r="A210" s="513" t="n">
        <v>43349</v>
      </c>
      <c r="B210" s="514" t="n">
        <v>2878.050049</v>
      </c>
      <c r="C210" s="515" t="n">
        <f aca="false">(B210-B209)/B209</f>
        <v>-0.0036523051450786</v>
      </c>
      <c r="D210" s="516" t="n">
        <v>132.061455016109</v>
      </c>
      <c r="E210" s="515" t="n">
        <f aca="false">(D210-D209)/D209</f>
        <v>-0.00617430877490469</v>
      </c>
    </row>
    <row r="211" customFormat="false" ht="14.25" hidden="false" customHeight="true" outlineLevel="0" collapsed="false">
      <c r="A211" s="511" t="n">
        <v>43350</v>
      </c>
      <c r="B211" s="507" t="n">
        <v>2871.679932</v>
      </c>
      <c r="C211" s="518" t="n">
        <f aca="false">(B211-B210)/B210</f>
        <v>-0.00221334476174703</v>
      </c>
      <c r="D211" s="512" t="n">
        <v>131.502545810975</v>
      </c>
      <c r="E211" s="518" t="n">
        <f aca="false">(D211-D210)/D210</f>
        <v>-0.00423219027130834</v>
      </c>
    </row>
    <row r="212" customFormat="false" ht="14.25" hidden="false" customHeight="true" outlineLevel="0" collapsed="false">
      <c r="A212" s="513" t="n">
        <v>43353</v>
      </c>
      <c r="B212" s="514" t="n">
        <v>2877.129883</v>
      </c>
      <c r="C212" s="515" t="n">
        <f aca="false">(B212-B211)/B211</f>
        <v>0.00189782675265081</v>
      </c>
      <c r="D212" s="516" t="n">
        <v>131.90258494992</v>
      </c>
      <c r="E212" s="515" t="n">
        <f aca="false">(D212-D211)/D211</f>
        <v>0.00304206383593539</v>
      </c>
    </row>
    <row r="213" customFormat="false" ht="14.25" hidden="false" customHeight="true" outlineLevel="0" collapsed="false">
      <c r="A213" s="511" t="n">
        <v>43354</v>
      </c>
      <c r="B213" s="507" t="n">
        <v>2887.889893</v>
      </c>
      <c r="C213" s="518" t="n">
        <f aca="false">(B213-B212)/B212</f>
        <v>0.0037398415912946</v>
      </c>
      <c r="D213" s="512" t="n">
        <v>132.808742423463</v>
      </c>
      <c r="E213" s="518" t="n">
        <f aca="false">(D213-D212)/D212</f>
        <v>0.00686989928125403</v>
      </c>
    </row>
    <row r="214" customFormat="false" ht="14.25" hidden="false" customHeight="true" outlineLevel="0" collapsed="false">
      <c r="A214" s="513" t="n">
        <v>43355</v>
      </c>
      <c r="B214" s="514" t="n">
        <v>2888.919922</v>
      </c>
      <c r="C214" s="515" t="n">
        <f aca="false">(B214-B213)/B213</f>
        <v>0.000356671839358113</v>
      </c>
      <c r="D214" s="516" t="n">
        <v>132.89875974237</v>
      </c>
      <c r="E214" s="515" t="n">
        <f aca="false">(D214-D213)/D213</f>
        <v>0.000677796636459217</v>
      </c>
    </row>
    <row r="215" customFormat="false" ht="14.25" hidden="false" customHeight="true" outlineLevel="0" collapsed="false">
      <c r="A215" s="511" t="n">
        <v>43356</v>
      </c>
      <c r="B215" s="507" t="n">
        <v>2904.179932</v>
      </c>
      <c r="C215" s="518" t="n">
        <f aca="false">(B215-B214)/B214</f>
        <v>0.00528225441065028</v>
      </c>
      <c r="D215" s="512" t="n">
        <v>134.243951256587</v>
      </c>
      <c r="E215" s="518" t="n">
        <f aca="false">(D215-D214)/D214</f>
        <v>0.0101219267721136</v>
      </c>
    </row>
    <row r="216" customFormat="false" ht="14.25" hidden="false" customHeight="true" outlineLevel="0" collapsed="false">
      <c r="A216" s="513" t="n">
        <v>43357</v>
      </c>
      <c r="B216" s="514" t="n">
        <v>2904.97998</v>
      </c>
      <c r="C216" s="515" t="n">
        <f aca="false">(B216-B215)/B215</f>
        <v>0.000275481553737305</v>
      </c>
      <c r="D216" s="516" t="n">
        <v>134.308436090346</v>
      </c>
      <c r="E216" s="515" t="n">
        <f aca="false">(D216-D215)/D215</f>
        <v>0.000480355600050413</v>
      </c>
    </row>
    <row r="217" customFormat="false" ht="14.25" hidden="false" customHeight="true" outlineLevel="0" collapsed="false">
      <c r="A217" s="511" t="n">
        <v>43360</v>
      </c>
      <c r="B217" s="507" t="n">
        <v>2888.800049</v>
      </c>
      <c r="C217" s="518" t="n">
        <f aca="false">(B217-B216)/B216</f>
        <v>-0.00556972203298975</v>
      </c>
      <c r="D217" s="512" t="n">
        <v>133.103661188614</v>
      </c>
      <c r="E217" s="518" t="n">
        <f aca="false">(D217-D216)/D216</f>
        <v>-0.00897021018785118</v>
      </c>
    </row>
    <row r="218" customFormat="false" ht="14.25" hidden="false" customHeight="true" outlineLevel="0" collapsed="false">
      <c r="A218" s="513" t="n">
        <v>43361</v>
      </c>
      <c r="B218" s="514" t="n">
        <v>2904.310059</v>
      </c>
      <c r="C218" s="515" t="n">
        <f aca="false">(B218-B217)/B217</f>
        <v>0.00536901472477092</v>
      </c>
      <c r="D218" s="516" t="n">
        <v>134.309399534167</v>
      </c>
      <c r="E218" s="515" t="n">
        <f aca="false">(D218-D217)/D217</f>
        <v>0.00905864147376383</v>
      </c>
    </row>
    <row r="219" customFormat="false" ht="14.25" hidden="false" customHeight="true" outlineLevel="0" collapsed="false">
      <c r="A219" s="511" t="n">
        <v>43362</v>
      </c>
      <c r="B219" s="507" t="n">
        <v>2907.949951</v>
      </c>
      <c r="C219" s="518" t="n">
        <f aca="false">(B219-B218)/B218</f>
        <v>0.00125327252464684</v>
      </c>
      <c r="D219" s="512" t="n">
        <v>134.609199198389</v>
      </c>
      <c r="E219" s="518" t="n">
        <f aca="false">(D219-D218)/D218</f>
        <v>0.00223215698426037</v>
      </c>
    </row>
    <row r="220" customFormat="false" ht="14.25" hidden="false" customHeight="true" outlineLevel="0" collapsed="false">
      <c r="A220" s="513" t="n">
        <v>43363</v>
      </c>
      <c r="B220" s="514" t="n">
        <v>2930.75</v>
      </c>
      <c r="C220" s="515" t="n">
        <f aca="false">(B220-B219)/B219</f>
        <v>0.00784059195797347</v>
      </c>
      <c r="D220" s="516" t="n">
        <v>136.460642568089</v>
      </c>
      <c r="E220" s="515" t="n">
        <f aca="false">(D220-D219)/D219</f>
        <v>0.0137542113074406</v>
      </c>
    </row>
    <row r="221" customFormat="false" ht="14.25" hidden="false" customHeight="true" outlineLevel="0" collapsed="false">
      <c r="A221" s="511" t="n">
        <v>43364</v>
      </c>
      <c r="B221" s="507" t="n">
        <v>2929.669922</v>
      </c>
      <c r="C221" s="518" t="n">
        <f aca="false">(B221-B220)/B220</f>
        <v>-0.000368532969376425</v>
      </c>
      <c r="D221" s="512" t="n">
        <v>136.374409146194</v>
      </c>
      <c r="E221" s="518" t="n">
        <f aca="false">(D221-D220)/D220</f>
        <v>-0.000631928886396494</v>
      </c>
    </row>
    <row r="222" customFormat="false" ht="14.25" hidden="false" customHeight="true" outlineLevel="0" collapsed="false">
      <c r="A222" s="513" t="n">
        <v>43367</v>
      </c>
      <c r="B222" s="514" t="n">
        <v>2919.370117</v>
      </c>
      <c r="C222" s="515" t="n">
        <f aca="false">(B222-B221)/B221</f>
        <v>-0.00351568786731057</v>
      </c>
      <c r="D222" s="516" t="n">
        <v>135.577040551454</v>
      </c>
      <c r="E222" s="515" t="n">
        <f aca="false">(D222-D221)/D221</f>
        <v>-0.00584690778667454</v>
      </c>
    </row>
    <row r="223" customFormat="false" ht="14.25" hidden="false" customHeight="true" outlineLevel="0" collapsed="false">
      <c r="A223" s="511" t="n">
        <v>43368</v>
      </c>
      <c r="B223" s="507" t="n">
        <v>2915.560059</v>
      </c>
      <c r="C223" s="518" t="n">
        <f aca="false">(B223-B222)/B222</f>
        <v>-0.00130509591018055</v>
      </c>
      <c r="D223" s="512" t="n">
        <v>135.292083194468</v>
      </c>
      <c r="E223" s="518" t="n">
        <f aca="false">(D223-D222)/D222</f>
        <v>-0.00210181130836705</v>
      </c>
    </row>
    <row r="224" customFormat="false" ht="14.25" hidden="false" customHeight="true" outlineLevel="0" collapsed="false">
      <c r="A224" s="513" t="n">
        <v>43369</v>
      </c>
      <c r="B224" s="514" t="n">
        <v>2905.969971</v>
      </c>
      <c r="C224" s="515" t="n">
        <f aca="false">(B224-B223)/B223</f>
        <v>-0.00328927815100101</v>
      </c>
      <c r="D224" s="516" t="n">
        <v>134.479530700938</v>
      </c>
      <c r="E224" s="515" t="n">
        <f aca="false">(D224-D223)/D223</f>
        <v>-0.00600591309073162</v>
      </c>
    </row>
    <row r="225" customFormat="false" ht="14.25" hidden="false" customHeight="true" outlineLevel="0" collapsed="false">
      <c r="A225" s="511" t="n">
        <v>43370</v>
      </c>
      <c r="B225" s="507" t="n">
        <v>2914</v>
      </c>
      <c r="C225" s="518" t="n">
        <f aca="false">(B225-B224)/B224</f>
        <v>0.00276328698511524</v>
      </c>
      <c r="D225" s="512" t="n">
        <v>135.156676236133</v>
      </c>
      <c r="E225" s="518" t="n">
        <f aca="false">(D225-D224)/D224</f>
        <v>0.00503530560870906</v>
      </c>
    </row>
    <row r="226" customFormat="false" ht="14.25" hidden="false" customHeight="true" outlineLevel="0" collapsed="false">
      <c r="A226" s="513" t="n">
        <v>43371</v>
      </c>
      <c r="B226" s="514" t="n">
        <v>2913.97998</v>
      </c>
      <c r="C226" s="515" t="n">
        <f aca="false">(B226-B225)/B225</f>
        <v>-6.8702814001137E-006</v>
      </c>
      <c r="D226" s="516" t="n">
        <v>135.154920845566</v>
      </c>
      <c r="E226" s="515" t="n">
        <f aca="false">(D226-D225)/D225</f>
        <v>-1.29878198833286E-005</v>
      </c>
    </row>
    <row r="227" customFormat="false" ht="14.25" hidden="false" customHeight="true" outlineLevel="0" collapsed="false">
      <c r="A227" s="511" t="n">
        <v>43374</v>
      </c>
      <c r="B227" s="507" t="n">
        <v>2924.590088</v>
      </c>
      <c r="C227" s="518" t="n">
        <f aca="false">(B227-B226)/B226</f>
        <v>0.00364110531740848</v>
      </c>
      <c r="D227" s="512" t="n">
        <v>136.035900596942</v>
      </c>
      <c r="E227" s="518" t="n">
        <f aca="false">(D227-D226)/D226</f>
        <v>0.00651829578874638</v>
      </c>
    </row>
    <row r="228" customFormat="false" ht="14.25" hidden="false" customHeight="true" outlineLevel="0" collapsed="false">
      <c r="A228" s="513" t="n">
        <v>43375</v>
      </c>
      <c r="B228" s="514" t="n">
        <v>2923.429932</v>
      </c>
      <c r="C228" s="515" t="n">
        <f aca="false">(B228-B227)/B227</f>
        <v>-0.000396690122407307</v>
      </c>
      <c r="D228" s="516" t="n">
        <v>135.938026347461</v>
      </c>
      <c r="E228" s="515" t="n">
        <f aca="false">(D228-D227)/D227</f>
        <v>-0.000719473676077603</v>
      </c>
    </row>
    <row r="229" customFormat="false" ht="14.25" hidden="false" customHeight="true" outlineLevel="0" collapsed="false">
      <c r="A229" s="511" t="n">
        <v>43376</v>
      </c>
      <c r="B229" s="507" t="n">
        <v>2925.51001</v>
      </c>
      <c r="C229" s="518" t="n">
        <f aca="false">(B229-B228)/B228</f>
        <v>0.000711519704040561</v>
      </c>
      <c r="D229" s="512" t="n">
        <v>136.105603759917</v>
      </c>
      <c r="E229" s="518" t="n">
        <f aca="false">(D229-D228)/D228</f>
        <v>0.00123274860580697</v>
      </c>
    </row>
    <row r="230" customFormat="false" ht="14.25" hidden="false" customHeight="true" outlineLevel="0" collapsed="false">
      <c r="A230" s="513" t="n">
        <v>43377</v>
      </c>
      <c r="B230" s="514" t="n">
        <v>2901.610107</v>
      </c>
      <c r="C230" s="515" t="n">
        <f aca="false">(B230-B229)/B229</f>
        <v>-0.00816948255801729</v>
      </c>
      <c r="D230" s="516" t="n">
        <v>134.224767607908</v>
      </c>
      <c r="E230" s="515" t="n">
        <f aca="false">(D230-D229)/D229</f>
        <v>-0.0138189472001952</v>
      </c>
    </row>
    <row r="231" customFormat="false" ht="14.25" hidden="false" customHeight="true" outlineLevel="0" collapsed="false">
      <c r="A231" s="511" t="n">
        <v>43378</v>
      </c>
      <c r="B231" s="507" t="n">
        <v>2885.570068</v>
      </c>
      <c r="C231" s="518" t="n">
        <f aca="false">(B231-B230)/B230</f>
        <v>-0.00552797874576744</v>
      </c>
      <c r="D231" s="512" t="n">
        <v>133.002753699761</v>
      </c>
      <c r="E231" s="518" t="n">
        <f aca="false">(D231-D230)/D230</f>
        <v>-0.00910423560364584</v>
      </c>
    </row>
    <row r="232" customFormat="false" ht="14.25" hidden="false" customHeight="true" outlineLevel="0" collapsed="false">
      <c r="A232" s="513" t="n">
        <v>43381</v>
      </c>
      <c r="B232" s="514" t="n">
        <v>2884.429932</v>
      </c>
      <c r="C232" s="515" t="n">
        <f aca="false">(B232-B231)/B231</f>
        <v>-0.000395116380171706</v>
      </c>
      <c r="D232" s="516" t="n">
        <v>132.903918066158</v>
      </c>
      <c r="E232" s="515" t="n">
        <f aca="false">(D232-D231)/D231</f>
        <v>-0.000743109678962727</v>
      </c>
    </row>
    <row r="233" customFormat="false" ht="14.25" hidden="false" customHeight="true" outlineLevel="0" collapsed="false">
      <c r="A233" s="511" t="n">
        <v>43382</v>
      </c>
      <c r="B233" s="507" t="n">
        <v>2880.340088</v>
      </c>
      <c r="C233" s="518" t="n">
        <f aca="false">(B233-B232)/B232</f>
        <v>-0.0014179037440387</v>
      </c>
      <c r="D233" s="512" t="n">
        <v>132.564684649406</v>
      </c>
      <c r="E233" s="518" t="n">
        <f aca="false">(D233-D232)/D232</f>
        <v>-0.00255247115125046</v>
      </c>
    </row>
    <row r="234" customFormat="false" ht="14.25" hidden="false" customHeight="true" outlineLevel="0" collapsed="false">
      <c r="A234" s="513" t="n">
        <v>43383</v>
      </c>
      <c r="B234" s="514" t="n">
        <v>2785.679932</v>
      </c>
      <c r="C234" s="515" t="n">
        <f aca="false">(B234-B233)/B233</f>
        <v>-0.0328642289132352</v>
      </c>
      <c r="D234" s="516" t="n">
        <v>124.676899391481</v>
      </c>
      <c r="E234" s="515" t="n">
        <f aca="false">(D234-D233)/D233</f>
        <v>-0.0595014070209259</v>
      </c>
    </row>
    <row r="235" customFormat="false" ht="14.25" hidden="false" customHeight="true" outlineLevel="0" collapsed="false">
      <c r="A235" s="511" t="n">
        <v>43384</v>
      </c>
      <c r="B235" s="507" t="n">
        <v>2728.370117</v>
      </c>
      <c r="C235" s="518" t="n">
        <f aca="false">(B235-B234)/B234</f>
        <v>-0.0205730078110065</v>
      </c>
      <c r="D235" s="512" t="n">
        <v>120.093715874473</v>
      </c>
      <c r="E235" s="518" t="n">
        <f aca="false">(D235-D234)/D234</f>
        <v>-0.0367604868213554</v>
      </c>
    </row>
    <row r="236" customFormat="false" ht="14.25" hidden="false" customHeight="true" outlineLevel="0" collapsed="false">
      <c r="A236" s="513" t="n">
        <v>43385</v>
      </c>
      <c r="B236" s="514" t="n">
        <v>2767.129883</v>
      </c>
      <c r="C236" s="515" t="n">
        <f aca="false">(B236-B235)/B235</f>
        <v>0.0142061979635735</v>
      </c>
      <c r="D236" s="516" t="n">
        <v>123.235137321911</v>
      </c>
      <c r="E236" s="515" t="n">
        <f aca="false">(D236-D235)/D235</f>
        <v>0.0261580834980703</v>
      </c>
    </row>
    <row r="237" customFormat="false" ht="14.25" hidden="false" customHeight="true" outlineLevel="0" collapsed="false">
      <c r="A237" s="511" t="n">
        <v>43388</v>
      </c>
      <c r="B237" s="507" t="n">
        <v>2750.790039</v>
      </c>
      <c r="C237" s="518" t="n">
        <f aca="false">(B237-B236)/B236</f>
        <v>-0.00590497905442919</v>
      </c>
      <c r="D237" s="512" t="n">
        <v>122.018290539425</v>
      </c>
      <c r="E237" s="518" t="n">
        <f aca="false">(D237-D236)/D236</f>
        <v>-0.00987418693182767</v>
      </c>
    </row>
    <row r="238" customFormat="false" ht="14.25" hidden="false" customHeight="true" outlineLevel="0" collapsed="false">
      <c r="A238" s="513" t="n">
        <v>43389</v>
      </c>
      <c r="B238" s="514" t="n">
        <v>2809.919922</v>
      </c>
      <c r="C238" s="515" t="n">
        <f aca="false">(B238-B237)/B237</f>
        <v>0.021495600231814</v>
      </c>
      <c r="D238" s="516" t="n">
        <v>126.314709585723</v>
      </c>
      <c r="E238" s="515" t="n">
        <f aca="false">(D238-D237)/D237</f>
        <v>0.0352112705997122</v>
      </c>
    </row>
    <row r="239" customFormat="false" ht="14.25" hidden="false" customHeight="true" outlineLevel="0" collapsed="false">
      <c r="A239" s="511" t="n">
        <v>43390</v>
      </c>
      <c r="B239" s="507" t="n">
        <v>2809.209961</v>
      </c>
      <c r="C239" s="518" t="n">
        <f aca="false">(B239-B238)/B238</f>
        <v>-0.000252662360390219</v>
      </c>
      <c r="D239" s="512" t="n">
        <v>126.253649594156</v>
      </c>
      <c r="E239" s="518" t="n">
        <f aca="false">(D239-D238)/D238</f>
        <v>-0.000483395732510109</v>
      </c>
    </row>
    <row r="240" customFormat="false" ht="14.25" hidden="false" customHeight="true" outlineLevel="0" collapsed="false">
      <c r="A240" s="513" t="n">
        <v>43391</v>
      </c>
      <c r="B240" s="514" t="n">
        <v>2768.780029</v>
      </c>
      <c r="C240" s="515" t="n">
        <f aca="false">(B240-B239)/B239</f>
        <v>-0.0143919224840026</v>
      </c>
      <c r="D240" s="516" t="n">
        <v>122.790371193802</v>
      </c>
      <c r="E240" s="515" t="n">
        <f aca="false">(D240-D239)/D239</f>
        <v>-0.0274311151518135</v>
      </c>
    </row>
    <row r="241" customFormat="false" ht="14.25" hidden="false" customHeight="true" outlineLevel="0" collapsed="false">
      <c r="A241" s="511" t="n">
        <v>43392</v>
      </c>
      <c r="B241" s="507" t="n">
        <v>2767.780029</v>
      </c>
      <c r="C241" s="518" t="n">
        <f aca="false">(B241-B240)/B240</f>
        <v>-0.000361169897762218</v>
      </c>
      <c r="D241" s="512" t="n">
        <v>122.707078864169</v>
      </c>
      <c r="E241" s="518" t="n">
        <f aca="false">(D241-D240)/D240</f>
        <v>-0.000678329488079607</v>
      </c>
    </row>
    <row r="242" customFormat="false" ht="14.25" hidden="false" customHeight="true" outlineLevel="0" collapsed="false">
      <c r="A242" s="513" t="n">
        <v>43395</v>
      </c>
      <c r="B242" s="514" t="n">
        <v>2755.879883</v>
      </c>
      <c r="C242" s="515" t="n">
        <f aca="false">(B242-B241)/B241</f>
        <v>-0.00429952737403755</v>
      </c>
      <c r="D242" s="516" t="n">
        <v>121.733347850237</v>
      </c>
      <c r="E242" s="515" t="n">
        <f aca="false">(D242-D241)/D241</f>
        <v>-0.00793541027090935</v>
      </c>
    </row>
    <row r="243" customFormat="false" ht="14.25" hidden="false" customHeight="true" outlineLevel="0" collapsed="false">
      <c r="A243" s="511" t="n">
        <v>43396</v>
      </c>
      <c r="B243" s="507" t="n">
        <v>2740.689941</v>
      </c>
      <c r="C243" s="518" t="n">
        <f aca="false">(B243-B242)/B242</f>
        <v>-0.0055118302120862</v>
      </c>
      <c r="D243" s="512" t="n">
        <v>120.656882861444</v>
      </c>
      <c r="E243" s="518" t="n">
        <f aca="false">(D243-D242)/D242</f>
        <v>-0.00884281101113984</v>
      </c>
    </row>
    <row r="244" customFormat="false" ht="14.25" hidden="false" customHeight="true" outlineLevel="0" collapsed="false">
      <c r="A244" s="513" t="n">
        <v>43397</v>
      </c>
      <c r="B244" s="514" t="n">
        <v>2656.100098</v>
      </c>
      <c r="C244" s="515" t="n">
        <f aca="false">(B244-B243)/B243</f>
        <v>-0.0308644337086653</v>
      </c>
      <c r="D244" s="516" t="n">
        <v>114.197466783134</v>
      </c>
      <c r="E244" s="515" t="n">
        <f aca="false">(D244-D243)/D243</f>
        <v>-0.0535354131908716</v>
      </c>
    </row>
    <row r="245" customFormat="false" ht="14.25" hidden="false" customHeight="true" outlineLevel="0" collapsed="false">
      <c r="A245" s="511" t="n">
        <v>43398</v>
      </c>
      <c r="B245" s="507" t="n">
        <v>2705.570068</v>
      </c>
      <c r="C245" s="518" t="n">
        <f aca="false">(B245-B244)/B244</f>
        <v>0.0186250397856806</v>
      </c>
      <c r="D245" s="512" t="n">
        <v>117.729008647705</v>
      </c>
      <c r="E245" s="518" t="n">
        <f aca="false">(D245-D244)/D244</f>
        <v>0.0309248704376039</v>
      </c>
    </row>
    <row r="246" customFormat="false" ht="14.25" hidden="false" customHeight="true" outlineLevel="0" collapsed="false">
      <c r="A246" s="513" t="n">
        <v>43399</v>
      </c>
      <c r="B246" s="514" t="n">
        <v>2658.689941</v>
      </c>
      <c r="C246" s="515" t="n">
        <f aca="false">(B246-B245)/B245</f>
        <v>-0.0173272640596052</v>
      </c>
      <c r="D246" s="516" t="n">
        <v>114.380646839124</v>
      </c>
      <c r="E246" s="515" t="n">
        <f aca="false">(D246-D245)/D245</f>
        <v>-0.0284412639420138</v>
      </c>
    </row>
    <row r="247" customFormat="false" ht="14.25" hidden="false" customHeight="true" outlineLevel="0" collapsed="false">
      <c r="A247" s="511" t="n">
        <v>43402</v>
      </c>
      <c r="B247" s="507" t="n">
        <v>2641.25</v>
      </c>
      <c r="C247" s="518" t="n">
        <f aca="false">(B247-B246)/B246</f>
        <v>-0.00655959942190193</v>
      </c>
      <c r="D247" s="512" t="n">
        <v>113.153784504608</v>
      </c>
      <c r="E247" s="518" t="n">
        <f aca="false">(D247-D246)/D246</f>
        <v>-0.0107261356568614</v>
      </c>
    </row>
    <row r="248" customFormat="false" ht="14.25" hidden="false" customHeight="true" outlineLevel="0" collapsed="false">
      <c r="A248" s="513" t="n">
        <v>43403</v>
      </c>
      <c r="B248" s="514" t="n">
        <v>2682.629883</v>
      </c>
      <c r="C248" s="515" t="n">
        <f aca="false">(B248-B247)/B247</f>
        <v>0.0156667801230478</v>
      </c>
      <c r="D248" s="516" t="n">
        <v>116.288555289037</v>
      </c>
      <c r="E248" s="515" t="n">
        <f aca="false">(D248-D247)/D247</f>
        <v>0.0277036318153491</v>
      </c>
    </row>
    <row r="249" customFormat="false" ht="14.25" hidden="false" customHeight="true" outlineLevel="0" collapsed="false">
      <c r="A249" s="511" t="n">
        <v>43404</v>
      </c>
      <c r="B249" s="507" t="n">
        <v>2711.73999</v>
      </c>
      <c r="C249" s="518" t="n">
        <f aca="false">(B249-B248)/B248</f>
        <v>0.0108513318160185</v>
      </c>
      <c r="D249" s="512" t="n">
        <v>118.583136376632</v>
      </c>
      <c r="E249" s="518" t="n">
        <f aca="false">(D249-D248)/D248</f>
        <v>0.0197317877231493</v>
      </c>
    </row>
    <row r="250" customFormat="false" ht="14.25" hidden="false" customHeight="true" outlineLevel="0" collapsed="false">
      <c r="A250" s="513" t="n">
        <v>43405</v>
      </c>
      <c r="B250" s="514" t="n">
        <v>2740.370117</v>
      </c>
      <c r="C250" s="515" t="n">
        <f aca="false">(B250-B249)/B249</f>
        <v>0.0105578437112623</v>
      </c>
      <c r="D250" s="516" t="n">
        <v>120.826092989469</v>
      </c>
      <c r="E250" s="515" t="n">
        <f aca="false">(D250-D249)/D249</f>
        <v>0.0189146339131489</v>
      </c>
    </row>
    <row r="251" customFormat="false" ht="14.25" hidden="false" customHeight="true" outlineLevel="0" collapsed="false">
      <c r="A251" s="511" t="n">
        <v>43406</v>
      </c>
      <c r="B251" s="507" t="n">
        <v>2723.060059</v>
      </c>
      <c r="C251" s="518" t="n">
        <f aca="false">(B251-B250)/B250</f>
        <v>-0.00631668616316328</v>
      </c>
      <c r="D251" s="512" t="n">
        <v>119.533324100938</v>
      </c>
      <c r="E251" s="518" t="n">
        <f aca="false">(D251-D250)/D250</f>
        <v>-0.0106994181185986</v>
      </c>
    </row>
    <row r="252" customFormat="false" ht="14.25" hidden="false" customHeight="true" outlineLevel="0" collapsed="false">
      <c r="A252" s="513" t="n">
        <v>43409</v>
      </c>
      <c r="B252" s="514" t="n">
        <v>2738.310059</v>
      </c>
      <c r="C252" s="515" t="n">
        <f aca="false">(B252-B251)/B251</f>
        <v>0.00560031716876649</v>
      </c>
      <c r="D252" s="516" t="n">
        <v>120.717113340176</v>
      </c>
      <c r="E252" s="515" t="n">
        <f aca="false">(D252-D251)/D251</f>
        <v>0.00990342440605403</v>
      </c>
    </row>
    <row r="253" customFormat="false" ht="14.25" hidden="false" customHeight="true" outlineLevel="0" collapsed="false">
      <c r="A253" s="511" t="n">
        <v>43410</v>
      </c>
      <c r="B253" s="507" t="n">
        <v>2755.449951</v>
      </c>
      <c r="C253" s="518" t="n">
        <f aca="false">(B253-B252)/B252</f>
        <v>0.0062592955621174</v>
      </c>
      <c r="D253" s="512" t="n">
        <v>121.957762080196</v>
      </c>
      <c r="E253" s="518" t="n">
        <f aca="false">(D253-D252)/D252</f>
        <v>0.0102773227895527</v>
      </c>
    </row>
    <row r="254" customFormat="false" ht="14.25" hidden="false" customHeight="true" outlineLevel="0" collapsed="false">
      <c r="A254" s="513" t="n">
        <v>43411</v>
      </c>
      <c r="B254" s="514" t="n">
        <v>2813.889893</v>
      </c>
      <c r="C254" s="515" t="n">
        <f aca="false">(B254-B253)/B253</f>
        <v>0.0212088562809102</v>
      </c>
      <c r="D254" s="516" t="n">
        <v>126.138146708424</v>
      </c>
      <c r="E254" s="515" t="n">
        <f aca="false">(D254-D253)/D253</f>
        <v>0.0342773150058222</v>
      </c>
    </row>
    <row r="255" customFormat="false" ht="14.25" hidden="false" customHeight="true" outlineLevel="0" collapsed="false">
      <c r="A255" s="511" t="n">
        <v>43412</v>
      </c>
      <c r="B255" s="507" t="n">
        <v>2806.830078</v>
      </c>
      <c r="C255" s="518" t="n">
        <f aca="false">(B255-B254)/B254</f>
        <v>-0.00250891657756847</v>
      </c>
      <c r="D255" s="512" t="n">
        <v>125.552148488036</v>
      </c>
      <c r="E255" s="518" t="n">
        <f aca="false">(D255-D254)/D254</f>
        <v>-0.00464568598540279</v>
      </c>
    </row>
    <row r="256" customFormat="false" ht="14.25" hidden="false" customHeight="true" outlineLevel="0" collapsed="false">
      <c r="A256" s="513" t="n">
        <v>43413</v>
      </c>
      <c r="B256" s="514" t="n">
        <v>2781.01001</v>
      </c>
      <c r="C256" s="515" t="n">
        <f aca="false">(B256-B255)/B255</f>
        <v>-0.00919901357847712</v>
      </c>
      <c r="D256" s="516" t="n">
        <v>123.67029017602</v>
      </c>
      <c r="E256" s="515" t="n">
        <f aca="false">(D256-D255)/D255</f>
        <v>-0.0149886587738904</v>
      </c>
    </row>
    <row r="257" customFormat="false" ht="14.25" hidden="false" customHeight="true" outlineLevel="0" collapsed="false">
      <c r="A257" s="511" t="n">
        <v>43416</v>
      </c>
      <c r="B257" s="507" t="n">
        <v>2726.219971</v>
      </c>
      <c r="C257" s="518" t="n">
        <f aca="false">(B257-B256)/B256</f>
        <v>-0.0197014893161064</v>
      </c>
      <c r="D257" s="512" t="n">
        <v>119.491495026093</v>
      </c>
      <c r="E257" s="518" t="n">
        <f aca="false">(D257-D256)/D256</f>
        <v>-0.0337898062985</v>
      </c>
    </row>
    <row r="258" customFormat="false" ht="14.25" hidden="false" customHeight="true" outlineLevel="0" collapsed="false">
      <c r="A258" s="513" t="n">
        <v>43417</v>
      </c>
      <c r="B258" s="514" t="n">
        <v>2722.179932</v>
      </c>
      <c r="C258" s="515" t="n">
        <f aca="false">(B258-B257)/B257</f>
        <v>-0.00148191967008372</v>
      </c>
      <c r="D258" s="516" t="n">
        <v>119.197786074841</v>
      </c>
      <c r="E258" s="515" t="n">
        <f aca="false">(D258-D257)/D257</f>
        <v>-0.002457990430096</v>
      </c>
    </row>
    <row r="259" customFormat="false" ht="14.25" hidden="false" customHeight="true" outlineLevel="0" collapsed="false">
      <c r="A259" s="511" t="n">
        <v>43418</v>
      </c>
      <c r="B259" s="507" t="n">
        <v>2701.580078</v>
      </c>
      <c r="C259" s="518" t="n">
        <f aca="false">(B259-B258)/B258</f>
        <v>-0.00756741086724022</v>
      </c>
      <c r="D259" s="512" t="n">
        <v>117.696225944191</v>
      </c>
      <c r="E259" s="518" t="n">
        <f aca="false">(D259-D258)/D258</f>
        <v>-0.0125972149323916</v>
      </c>
    </row>
    <row r="260" customFormat="false" ht="14.25" hidden="false" customHeight="true" outlineLevel="0" collapsed="false">
      <c r="A260" s="513" t="n">
        <v>43419</v>
      </c>
      <c r="B260" s="514" t="n">
        <v>2730.199951</v>
      </c>
      <c r="C260" s="515" t="n">
        <f aca="false">(B260-B259)/B259</f>
        <v>0.0105937533494057</v>
      </c>
      <c r="D260" s="516" t="n">
        <v>119.847020393657</v>
      </c>
      <c r="E260" s="515" t="n">
        <f aca="false">(D260-D259)/D259</f>
        <v>0.0182741156924256</v>
      </c>
    </row>
    <row r="261" customFormat="false" ht="14.25" hidden="false" customHeight="true" outlineLevel="0" collapsed="false">
      <c r="A261" s="511" t="n">
        <v>43420</v>
      </c>
      <c r="B261" s="507" t="n">
        <v>2736.27002</v>
      </c>
      <c r="C261" s="518" t="n">
        <f aca="false">(B261-B260)/B260</f>
        <v>0.00222330565853851</v>
      </c>
      <c r="D261" s="512" t="n">
        <v>120.310255016078</v>
      </c>
      <c r="E261" s="518" t="n">
        <f aca="false">(D261-D260)/D260</f>
        <v>0.00386521601371005</v>
      </c>
    </row>
    <row r="262" customFormat="false" ht="14.25" hidden="false" customHeight="true" outlineLevel="0" collapsed="false">
      <c r="A262" s="513" t="n">
        <v>43423</v>
      </c>
      <c r="B262" s="514" t="n">
        <v>2690.72998</v>
      </c>
      <c r="C262" s="515" t="n">
        <f aca="false">(B262-B261)/B261</f>
        <v>-0.0166431089282628</v>
      </c>
      <c r="D262" s="516" t="n">
        <v>116.596027742735</v>
      </c>
      <c r="E262" s="515" t="n">
        <f aca="false">(D262-D261)/D261</f>
        <v>-0.030872075475583</v>
      </c>
    </row>
    <row r="263" customFormat="false" ht="14.25" hidden="false" customHeight="true" outlineLevel="0" collapsed="false">
      <c r="A263" s="511" t="n">
        <v>43424</v>
      </c>
      <c r="B263" s="507" t="n">
        <v>2641.889893</v>
      </c>
      <c r="C263" s="518" t="n">
        <f aca="false">(B263-B262)/B262</f>
        <v>-0.0181512405046307</v>
      </c>
      <c r="D263" s="512" t="n">
        <v>112.828743012084</v>
      </c>
      <c r="E263" s="518" t="n">
        <f aca="false">(D263-D262)/D262</f>
        <v>-0.0323105752707406</v>
      </c>
    </row>
    <row r="264" customFormat="false" ht="14.25" hidden="false" customHeight="true" outlineLevel="0" collapsed="false">
      <c r="A264" s="513" t="n">
        <v>43425</v>
      </c>
      <c r="B264" s="514" t="n">
        <v>2649.929932</v>
      </c>
      <c r="C264" s="515" t="n">
        <f aca="false">(B264-B263)/B263</f>
        <v>0.00304329072203312</v>
      </c>
      <c r="D264" s="516" t="n">
        <v>113.409338968993</v>
      </c>
      <c r="E264" s="515" t="n">
        <f aca="false">(D264-D263)/D263</f>
        <v>0.00514581605191517</v>
      </c>
    </row>
    <row r="265" customFormat="false" ht="14.25" hidden="false" customHeight="true" outlineLevel="0" collapsed="false">
      <c r="A265" s="511" t="n">
        <v>43427</v>
      </c>
      <c r="B265" s="507" t="n">
        <v>2632.560059</v>
      </c>
      <c r="C265" s="518" t="n">
        <f aca="false">(B265-B264)/B264</f>
        <v>-0.00655484237158317</v>
      </c>
      <c r="D265" s="512" t="n">
        <v>111.986972334579</v>
      </c>
      <c r="E265" s="518" t="n">
        <f aca="false">(D265-D264)/D264</f>
        <v>-0.0125418827703677</v>
      </c>
    </row>
    <row r="266" customFormat="false" ht="14.25" hidden="false" customHeight="true" outlineLevel="0" collapsed="false">
      <c r="A266" s="513" t="n">
        <v>43430</v>
      </c>
      <c r="B266" s="514" t="n">
        <v>2673.449951</v>
      </c>
      <c r="C266" s="515" t="n">
        <f aca="false">(B266-B265)/B265</f>
        <v>0.0155323681449199</v>
      </c>
      <c r="D266" s="516" t="n">
        <v>115.253384451036</v>
      </c>
      <c r="E266" s="515" t="n">
        <f aca="false">(D266-D265)/D265</f>
        <v>0.0291677866484155</v>
      </c>
    </row>
    <row r="267" customFormat="false" ht="14.25" hidden="false" customHeight="true" outlineLevel="0" collapsed="false">
      <c r="A267" s="511" t="n">
        <v>43431</v>
      </c>
      <c r="B267" s="507" t="n">
        <v>2682.169922</v>
      </c>
      <c r="C267" s="518" t="n">
        <f aca="false">(B267-B266)/B266</f>
        <v>0.00326169225525927</v>
      </c>
      <c r="D267" s="512" t="n">
        <v>115.927201360529</v>
      </c>
      <c r="E267" s="518" t="n">
        <f aca="false">(D267-D266)/D266</f>
        <v>0.00584639585815601</v>
      </c>
    </row>
    <row r="268" customFormat="false" ht="14.25" hidden="false" customHeight="true" outlineLevel="0" collapsed="false">
      <c r="A268" s="513" t="n">
        <v>43432</v>
      </c>
      <c r="B268" s="514" t="n">
        <v>2743.790039</v>
      </c>
      <c r="C268" s="515" t="n">
        <f aca="false">(B268-B267)/B267</f>
        <v>0.0229739795732449</v>
      </c>
      <c r="D268" s="516" t="n">
        <v>120.733894505438</v>
      </c>
      <c r="E268" s="515" t="n">
        <f aca="false">(D268-D267)/D267</f>
        <v>0.0414630310099558</v>
      </c>
    </row>
    <row r="269" customFormat="false" ht="14.25" hidden="false" customHeight="true" outlineLevel="0" collapsed="false">
      <c r="A269" s="511" t="n">
        <v>43433</v>
      </c>
      <c r="B269" s="507" t="n">
        <v>2737.800049</v>
      </c>
      <c r="C269" s="518" t="n">
        <f aca="false">(B269-B268)/B268</f>
        <v>-0.00218310800566327</v>
      </c>
      <c r="D269" s="512" t="n">
        <v>120.293075105976</v>
      </c>
      <c r="E269" s="518" t="n">
        <f aca="false">(D269-D268)/D268</f>
        <v>-0.00365116524458793</v>
      </c>
    </row>
    <row r="270" customFormat="false" ht="14.25" hidden="false" customHeight="true" outlineLevel="0" collapsed="false">
      <c r="A270" s="513" t="n">
        <v>43434</v>
      </c>
      <c r="B270" s="514" t="n">
        <v>2760.169922</v>
      </c>
      <c r="C270" s="515" t="n">
        <f aca="false">(B270-B269)/B269</f>
        <v>0.00817074753438289</v>
      </c>
      <c r="D270" s="516" t="n">
        <v>122.06071581215</v>
      </c>
      <c r="E270" s="515" t="n">
        <f aca="false">(D270-D269)/D269</f>
        <v>0.0146944510697456</v>
      </c>
    </row>
    <row r="271" customFormat="false" ht="14.25" hidden="false" customHeight="true" outlineLevel="0" collapsed="false">
      <c r="A271" s="511" t="n">
        <v>43437</v>
      </c>
      <c r="B271" s="507" t="n">
        <v>2790.370117</v>
      </c>
      <c r="C271" s="518" t="n">
        <f aca="false">(B271-B270)/B270</f>
        <v>0.0109414260184812</v>
      </c>
      <c r="D271" s="512" t="n">
        <v>124.387201275606</v>
      </c>
      <c r="E271" s="518" t="n">
        <f aca="false">(D271-D270)/D270</f>
        <v>0.0190600673441605</v>
      </c>
    </row>
    <row r="272" customFormat="false" ht="14.25" hidden="false" customHeight="true" outlineLevel="0" collapsed="false">
      <c r="A272" s="513" t="n">
        <v>43438</v>
      </c>
      <c r="B272" s="514" t="n">
        <v>2700.060059</v>
      </c>
      <c r="C272" s="515" t="n">
        <f aca="false">(B272-B271)/B271</f>
        <v>-0.0323649029387882</v>
      </c>
      <c r="D272" s="516" t="n">
        <v>116.752721072301</v>
      </c>
      <c r="E272" s="515" t="n">
        <f aca="false">(D272-D271)/D271</f>
        <v>-0.0613767343023436</v>
      </c>
    </row>
    <row r="273" customFormat="false" ht="14.25" hidden="false" customHeight="true" outlineLevel="0" collapsed="false">
      <c r="A273" s="511" t="n">
        <v>43440</v>
      </c>
      <c r="B273" s="507" t="n">
        <v>2695.949951</v>
      </c>
      <c r="C273" s="518" t="n">
        <f aca="false">(B273-B272)/B272</f>
        <v>-0.00152222836166173</v>
      </c>
      <c r="D273" s="512" t="n">
        <v>116.460411063612</v>
      </c>
      <c r="E273" s="518" t="n">
        <f aca="false">(D273-D272)/D272</f>
        <v>-0.00250366763193453</v>
      </c>
    </row>
    <row r="274" customFormat="false" ht="14.25" hidden="false" customHeight="true" outlineLevel="0" collapsed="false">
      <c r="A274" s="513" t="n">
        <v>43441</v>
      </c>
      <c r="B274" s="514" t="n">
        <v>2633.080078</v>
      </c>
      <c r="C274" s="515" t="n">
        <f aca="false">(B274-B273)/B273</f>
        <v>-0.0233201187494894</v>
      </c>
      <c r="D274" s="516" t="n">
        <v>111.976292755213</v>
      </c>
      <c r="E274" s="515" t="n">
        <f aca="false">(D274-D273)/D273</f>
        <v>-0.0385033700932906</v>
      </c>
    </row>
    <row r="275" customFormat="false" ht="14.25" hidden="false" customHeight="true" outlineLevel="0" collapsed="false">
      <c r="A275" s="511" t="n">
        <v>43444</v>
      </c>
      <c r="B275" s="507" t="n">
        <v>2637.719971</v>
      </c>
      <c r="C275" s="518" t="n">
        <f aca="false">(B275-B274)/B274</f>
        <v>0.00176215415503973</v>
      </c>
      <c r="D275" s="512" t="n">
        <v>112.340952996013</v>
      </c>
      <c r="E275" s="518" t="n">
        <f aca="false">(D275-D274)/D274</f>
        <v>0.00325658433430348</v>
      </c>
    </row>
    <row r="276" customFormat="false" ht="14.25" hidden="false" customHeight="true" outlineLevel="0" collapsed="false">
      <c r="A276" s="513" t="n">
        <v>43445</v>
      </c>
      <c r="B276" s="514" t="n">
        <v>2636.780029</v>
      </c>
      <c r="C276" s="515" t="n">
        <f aca="false">(B276-B275)/B275</f>
        <v>-0.000356346393981931</v>
      </c>
      <c r="D276" s="516" t="n">
        <v>112.275262287382</v>
      </c>
      <c r="E276" s="515" t="n">
        <f aca="false">(D276-D275)/D275</f>
        <v>-0.000584744092684767</v>
      </c>
    </row>
    <row r="277" customFormat="false" ht="14.25" hidden="false" customHeight="true" outlineLevel="0" collapsed="false">
      <c r="A277" s="511" t="n">
        <v>43446</v>
      </c>
      <c r="B277" s="507" t="n">
        <v>2651.070068</v>
      </c>
      <c r="C277" s="518" t="n">
        <f aca="false">(B277-B276)/B276</f>
        <v>0.00541950365325677</v>
      </c>
      <c r="D277" s="512" t="n">
        <v>113.39464764908</v>
      </c>
      <c r="E277" s="518" t="n">
        <f aca="false">(D277-D276)/D276</f>
        <v>0.00997000887722527</v>
      </c>
    </row>
    <row r="278" customFormat="false" ht="14.25" hidden="false" customHeight="true" outlineLevel="0" collapsed="false">
      <c r="A278" s="513" t="n">
        <v>43447</v>
      </c>
      <c r="B278" s="514" t="n">
        <v>2650.540039</v>
      </c>
      <c r="C278" s="515" t="n">
        <f aca="false">(B278-B277)/B277</f>
        <v>-0.000199930211727627</v>
      </c>
      <c r="D278" s="516" t="n">
        <v>113.357889933413</v>
      </c>
      <c r="E278" s="515" t="n">
        <f aca="false">(D278-D277)/D277</f>
        <v>-0.000324157413326484</v>
      </c>
    </row>
    <row r="279" customFormat="false" ht="14.25" hidden="false" customHeight="true" outlineLevel="0" collapsed="false">
      <c r="A279" s="511" t="n">
        <v>43448</v>
      </c>
      <c r="B279" s="507" t="n">
        <v>2599.949951</v>
      </c>
      <c r="C279" s="518" t="n">
        <f aca="false">(B279-B278)/B278</f>
        <v>-0.0190867095971456</v>
      </c>
      <c r="D279" s="512" t="n">
        <v>109.647362714152</v>
      </c>
      <c r="E279" s="518" t="n">
        <f aca="false">(D279-D278)/D278</f>
        <v>-0.0327328536323373</v>
      </c>
    </row>
    <row r="280" customFormat="false" ht="14.25" hidden="false" customHeight="true" outlineLevel="0" collapsed="false">
      <c r="A280" s="513" t="n">
        <v>43451</v>
      </c>
      <c r="B280" s="514" t="n">
        <v>2545.939941</v>
      </c>
      <c r="C280" s="515" t="n">
        <f aca="false">(B280-B279)/B279</f>
        <v>-0.0207734806507435</v>
      </c>
      <c r="D280" s="516" t="n">
        <v>105.483462780374</v>
      </c>
      <c r="E280" s="515" t="n">
        <f aca="false">(D280-D279)/D279</f>
        <v>-0.0379753769785889</v>
      </c>
    </row>
    <row r="281" customFormat="false" ht="14.25" hidden="false" customHeight="true" outlineLevel="0" collapsed="false">
      <c r="A281" s="511" t="n">
        <v>43452</v>
      </c>
      <c r="B281" s="507" t="n">
        <v>2546.159912</v>
      </c>
      <c r="C281" s="518" t="n">
        <f aca="false">(B281-B280)/B280</f>
        <v>8.64007027257627E-005</v>
      </c>
      <c r="D281" s="512" t="n">
        <v>105.500326677454</v>
      </c>
      <c r="E281" s="518" t="n">
        <f aca="false">(D281-D280)/D280</f>
        <v>0.000159872425833351</v>
      </c>
    </row>
    <row r="282" customFormat="false" ht="14.25" hidden="false" customHeight="true" outlineLevel="0" collapsed="false">
      <c r="A282" s="513" t="n">
        <v>43453</v>
      </c>
      <c r="B282" s="514" t="n">
        <v>2506.959961</v>
      </c>
      <c r="C282" s="515" t="n">
        <f aca="false">(B282-B281)/B281</f>
        <v>-0.0153957144699559</v>
      </c>
      <c r="D282" s="516" t="n">
        <v>102.825595702626</v>
      </c>
      <c r="E282" s="515" t="n">
        <f aca="false">(D282-D281)/D281</f>
        <v>-0.025352821731116</v>
      </c>
    </row>
    <row r="283" customFormat="false" ht="14.25" hidden="false" customHeight="true" outlineLevel="0" collapsed="false">
      <c r="A283" s="511" t="n">
        <v>43454</v>
      </c>
      <c r="B283" s="507" t="n">
        <v>2467.419922</v>
      </c>
      <c r="C283" s="518" t="n">
        <f aca="false">(B283-B282)/B282</f>
        <v>-0.0157721063020998</v>
      </c>
      <c r="D283" s="512" t="n">
        <v>100.041025322523</v>
      </c>
      <c r="E283" s="518" t="n">
        <f aca="false">(D283-D282)/D282</f>
        <v>-0.0270805178523453</v>
      </c>
    </row>
    <row r="284" customFormat="false" ht="14.25" hidden="false" customHeight="true" outlineLevel="0" collapsed="false">
      <c r="A284" s="513" t="n">
        <v>43455</v>
      </c>
      <c r="B284" s="514" t="n">
        <v>2416.620117</v>
      </c>
      <c r="C284" s="515" t="n">
        <f aca="false">(B284-B283)/B283</f>
        <v>-0.0205882284353219</v>
      </c>
      <c r="D284" s="516" t="n">
        <v>96.1476921114128</v>
      </c>
      <c r="E284" s="515" t="n">
        <f aca="false">(D284-D283)/D283</f>
        <v>-0.0389173661361272</v>
      </c>
    </row>
    <row r="285" customFormat="false" ht="14.25" hidden="false" customHeight="true" outlineLevel="0" collapsed="false">
      <c r="A285" s="511" t="n">
        <v>43458</v>
      </c>
      <c r="B285" s="507" t="n">
        <v>2351.100098</v>
      </c>
      <c r="C285" s="518" t="n">
        <f aca="false">(B285-B284)/B284</f>
        <v>-0.0271122542343713</v>
      </c>
      <c r="D285" s="512" t="n">
        <v>91.5604866121518</v>
      </c>
      <c r="E285" s="518" t="n">
        <f aca="false">(D285-D284)/D284</f>
        <v>-0.0477099907291117</v>
      </c>
    </row>
    <row r="286" customFormat="false" ht="14.25" hidden="false" customHeight="true" outlineLevel="0" collapsed="false">
      <c r="A286" s="513" t="n">
        <v>43460</v>
      </c>
      <c r="B286" s="514" t="n">
        <v>2467.699951</v>
      </c>
      <c r="C286" s="515" t="n">
        <f aca="false">(B286-B285)/B285</f>
        <v>0.0495937425629762</v>
      </c>
      <c r="D286" s="516" t="n">
        <v>99.9439812825643</v>
      </c>
      <c r="E286" s="515" t="n">
        <f aca="false">(D286-D285)/D285</f>
        <v>0.0915623647340887</v>
      </c>
    </row>
    <row r="287" customFormat="false" ht="14.25" hidden="false" customHeight="true" outlineLevel="0" collapsed="false">
      <c r="A287" s="511" t="n">
        <v>43461</v>
      </c>
      <c r="B287" s="507" t="n">
        <v>2488.830078</v>
      </c>
      <c r="C287" s="518" t="n">
        <f aca="false">(B287-B286)/B286</f>
        <v>0.00856268080381378</v>
      </c>
      <c r="D287" s="512" t="n">
        <v>101.437485109903</v>
      </c>
      <c r="E287" s="518" t="n">
        <f aca="false">(D287-D286)/D286</f>
        <v>0.0149434093796626</v>
      </c>
    </row>
    <row r="288" customFormat="false" ht="14.25" hidden="false" customHeight="true" outlineLevel="0" collapsed="false">
      <c r="A288" s="513" t="n">
        <v>43462</v>
      </c>
      <c r="B288" s="514" t="n">
        <v>2485.73999</v>
      </c>
      <c r="C288" s="515" t="n">
        <f aca="false">(B288-B287)/B287</f>
        <v>-0.0012415825521054</v>
      </c>
      <c r="D288" s="516" t="n">
        <v>101.196486701468</v>
      </c>
      <c r="E288" s="515" t="n">
        <f aca="false">(D288-D287)/D287</f>
        <v>-0.00237583185519514</v>
      </c>
    </row>
    <row r="289" customFormat="false" ht="14.25" hidden="false" customHeight="true" outlineLevel="0" collapsed="false">
      <c r="A289" s="511" t="n">
        <v>43465</v>
      </c>
      <c r="B289" s="507" t="n">
        <v>2506.850098</v>
      </c>
      <c r="C289" s="518" t="n">
        <f aca="false">(B289-B288)/B288</f>
        <v>0.00849248436478662</v>
      </c>
      <c r="D289" s="512" t="n">
        <v>102.595096498965</v>
      </c>
      <c r="E289" s="518" t="n">
        <f aca="false">(D289-D288)/D288</f>
        <v>0.0138207347219764</v>
      </c>
    </row>
    <row r="290" customFormat="false" ht="14.25" hidden="false" customHeight="true" outlineLevel="0" collapsed="false">
      <c r="A290" s="513" t="n">
        <v>43467</v>
      </c>
      <c r="B290" s="514" t="n">
        <v>2510.030029</v>
      </c>
      <c r="C290" s="515" t="n">
        <f aca="false">(B290-B289)/B289</f>
        <v>0.00126849666940082</v>
      </c>
      <c r="D290" s="516" t="n">
        <v>102.820119449825</v>
      </c>
      <c r="E290" s="515" t="n">
        <f aca="false">(D290-D289)/D289</f>
        <v>0.0021933109723452</v>
      </c>
    </row>
    <row r="291" customFormat="false" ht="14.25" hidden="false" customHeight="true" outlineLevel="0" collapsed="false">
      <c r="A291" s="511" t="n">
        <v>43468</v>
      </c>
      <c r="B291" s="507" t="n">
        <v>2447.889893</v>
      </c>
      <c r="C291" s="518" t="n">
        <f aca="false">(B291-B290)/B290</f>
        <v>-0.0247567301116141</v>
      </c>
      <c r="D291" s="512" t="n">
        <v>98.2763805861805</v>
      </c>
      <c r="E291" s="518" t="n">
        <f aca="false">(D291-D290)/D290</f>
        <v>-0.0441911455458073</v>
      </c>
    </row>
    <row r="292" customFormat="false" ht="14.25" hidden="false" customHeight="true" outlineLevel="0" collapsed="false">
      <c r="A292" s="513" t="n">
        <v>43469</v>
      </c>
      <c r="B292" s="514" t="n">
        <v>2531.939941</v>
      </c>
      <c r="C292" s="515" t="n">
        <f aca="false">(B292-B291)/B291</f>
        <v>0.0343357142984045</v>
      </c>
      <c r="D292" s="516" t="n">
        <v>103.970202291591</v>
      </c>
      <c r="E292" s="515" t="n">
        <f aca="false">(D292-D291)/D291</f>
        <v>0.0579368274599559</v>
      </c>
    </row>
    <row r="293" customFormat="false" ht="14.25" hidden="false" customHeight="true" outlineLevel="0" collapsed="false">
      <c r="A293" s="511" t="n">
        <v>43472</v>
      </c>
      <c r="B293" s="507" t="n">
        <v>2549.689941</v>
      </c>
      <c r="C293" s="518" t="n">
        <f aca="false">(B293-B292)/B292</f>
        <v>0.00701043484980515</v>
      </c>
      <c r="D293" s="512" t="n">
        <v>105.330773823233</v>
      </c>
      <c r="E293" s="518" t="n">
        <f aca="false">(D293-D292)/D292</f>
        <v>0.0130861679755725</v>
      </c>
    </row>
    <row r="294" customFormat="false" ht="14.25" hidden="false" customHeight="true" outlineLevel="0" collapsed="false">
      <c r="A294" s="513" t="n">
        <v>43473</v>
      </c>
      <c r="B294" s="514" t="n">
        <v>2574.409912</v>
      </c>
      <c r="C294" s="515" t="n">
        <f aca="false">(B294-B293)/B293</f>
        <v>0.00969528514133946</v>
      </c>
      <c r="D294" s="516" t="n">
        <v>107.180966635177</v>
      </c>
      <c r="E294" s="515" t="n">
        <f aca="false">(D294-D293)/D293</f>
        <v>0.0175655484602155</v>
      </c>
    </row>
    <row r="295" customFormat="false" ht="14.25" hidden="false" customHeight="true" outlineLevel="0" collapsed="false">
      <c r="A295" s="511" t="n">
        <v>43474</v>
      </c>
      <c r="B295" s="507" t="n">
        <v>2584.959961</v>
      </c>
      <c r="C295" s="518" t="n">
        <f aca="false">(B295-B294)/B294</f>
        <v>0.00409804551746923</v>
      </c>
      <c r="D295" s="512" t="n">
        <v>107.963712857655</v>
      </c>
      <c r="E295" s="518" t="n">
        <f aca="false">(D295-D294)/D294</f>
        <v>0.00730303380396177</v>
      </c>
    </row>
    <row r="296" customFormat="false" ht="14.25" hidden="false" customHeight="true" outlineLevel="0" collapsed="false">
      <c r="A296" s="513" t="n">
        <v>43475</v>
      </c>
      <c r="B296" s="514" t="n">
        <v>2596.639893</v>
      </c>
      <c r="C296" s="515" t="n">
        <f aca="false">(B296-B295)/B295</f>
        <v>0.00451841892184728</v>
      </c>
      <c r="D296" s="516" t="n">
        <v>108.753292886519</v>
      </c>
      <c r="E296" s="515" t="n">
        <f aca="false">(D296-D295)/D295</f>
        <v>0.00731338343194099</v>
      </c>
    </row>
    <row r="297" customFormat="false" ht="14.25" hidden="false" customHeight="true" outlineLevel="0" collapsed="false">
      <c r="A297" s="511" t="n">
        <v>43476</v>
      </c>
      <c r="B297" s="507" t="n">
        <v>2596.26001</v>
      </c>
      <c r="C297" s="518" t="n">
        <f aca="false">(B297-B296)/B296</f>
        <v>-0.000146297914094345</v>
      </c>
      <c r="D297" s="512" t="n">
        <v>108.727828099254</v>
      </c>
      <c r="E297" s="518" t="n">
        <f aca="false">(D297-D296)/D296</f>
        <v>-0.000234151873374354</v>
      </c>
    </row>
    <row r="298" customFormat="false" ht="14.25" hidden="false" customHeight="true" outlineLevel="0" collapsed="false">
      <c r="A298" s="513" t="n">
        <v>43479</v>
      </c>
      <c r="B298" s="514" t="n">
        <v>2582.610107</v>
      </c>
      <c r="C298" s="515" t="n">
        <f aca="false">(B298-B297)/B297</f>
        <v>-0.00525752542019087</v>
      </c>
      <c r="D298" s="516" t="n">
        <v>107.728816363464</v>
      </c>
      <c r="E298" s="515" t="n">
        <f aca="false">(D298-D297)/D297</f>
        <v>-0.00918818809548948</v>
      </c>
    </row>
    <row r="299" customFormat="false" ht="14.25" hidden="false" customHeight="true" outlineLevel="0" collapsed="false">
      <c r="A299" s="511" t="n">
        <v>43480</v>
      </c>
      <c r="B299" s="507" t="n">
        <v>2610.300049</v>
      </c>
      <c r="C299" s="518" t="n">
        <f aca="false">(B299-B298)/B298</f>
        <v>0.0107216888546003</v>
      </c>
      <c r="D299" s="512" t="n">
        <v>109.608784811871</v>
      </c>
      <c r="E299" s="518" t="n">
        <f aca="false">(D299-D298)/D298</f>
        <v>0.0174509338528719</v>
      </c>
    </row>
    <row r="300" customFormat="false" ht="14.25" hidden="false" customHeight="true" outlineLevel="0" collapsed="false">
      <c r="A300" s="513" t="n">
        <v>43481</v>
      </c>
      <c r="B300" s="514" t="n">
        <v>2616.100098</v>
      </c>
      <c r="C300" s="515" t="n">
        <f aca="false">(B300-B299)/B299</f>
        <v>0.00222198555381475</v>
      </c>
      <c r="D300" s="516" t="n">
        <v>110.052220503137</v>
      </c>
      <c r="E300" s="515" t="n">
        <f aca="false">(D300-D299)/D299</f>
        <v>0.0040456218178779</v>
      </c>
    </row>
    <row r="301" customFormat="false" ht="14.25" hidden="false" customHeight="true" outlineLevel="0" collapsed="false">
      <c r="A301" s="511" t="n">
        <v>43482</v>
      </c>
      <c r="B301" s="507" t="n">
        <v>2635.959961</v>
      </c>
      <c r="C301" s="518" t="n">
        <f aca="false">(B301-B300)/B300</f>
        <v>0.00759140027370624</v>
      </c>
      <c r="D301" s="512" t="n">
        <v>111.479508593462</v>
      </c>
      <c r="E301" s="518" t="n">
        <f aca="false">(D301-D300)/D300</f>
        <v>0.0129691893884533</v>
      </c>
    </row>
    <row r="302" customFormat="false" ht="14.25" hidden="false" customHeight="true" outlineLevel="0" collapsed="false">
      <c r="A302" s="513" t="n">
        <v>43483</v>
      </c>
      <c r="B302" s="514" t="n">
        <v>2670.709961</v>
      </c>
      <c r="C302" s="515" t="n">
        <f aca="false">(B302-B301)/B301</f>
        <v>0.0131830530486574</v>
      </c>
      <c r="D302" s="516" t="n">
        <v>114.256241930519</v>
      </c>
      <c r="E302" s="515" t="n">
        <f aca="false">(D302-D301)/D301</f>
        <v>0.0249080155814379</v>
      </c>
    </row>
    <row r="303" customFormat="false" ht="14.25" hidden="false" customHeight="true" outlineLevel="0" collapsed="false">
      <c r="A303" s="511" t="n">
        <v>43487</v>
      </c>
      <c r="B303" s="507" t="n">
        <v>2632.899902</v>
      </c>
      <c r="C303" s="518" t="n">
        <f aca="false">(B303-B302)/B302</f>
        <v>-0.0141573063163484</v>
      </c>
      <c r="D303" s="512" t="n">
        <v>111.308755768122</v>
      </c>
      <c r="E303" s="518" t="n">
        <f aca="false">(D303-D302)/D302</f>
        <v>-0.025797156571887</v>
      </c>
    </row>
    <row r="304" customFormat="false" ht="14.25" hidden="false" customHeight="true" outlineLevel="0" collapsed="false">
      <c r="A304" s="513" t="n">
        <v>43488</v>
      </c>
      <c r="B304" s="514" t="n">
        <v>2638.699951</v>
      </c>
      <c r="C304" s="515" t="n">
        <f aca="false">(B304-B303)/B303</f>
        <v>0.00220291283979088</v>
      </c>
      <c r="D304" s="516" t="n">
        <v>111.770413901799</v>
      </c>
      <c r="E304" s="515" t="n">
        <f aca="false">(D304-D303)/D303</f>
        <v>0.00414754554114979</v>
      </c>
    </row>
    <row r="305" customFormat="false" ht="14.25" hidden="false" customHeight="true" outlineLevel="0" collapsed="false">
      <c r="A305" s="511" t="n">
        <v>43489</v>
      </c>
      <c r="B305" s="507" t="n">
        <v>2642.330078</v>
      </c>
      <c r="C305" s="518" t="n">
        <f aca="false">(B305-B304)/B304</f>
        <v>0.00137572557221755</v>
      </c>
      <c r="D305" s="512" t="n">
        <v>112.035557805312</v>
      </c>
      <c r="E305" s="518" t="n">
        <f aca="false">(D305-D304)/D304</f>
        <v>0.00237221903594226</v>
      </c>
    </row>
    <row r="306" customFormat="false" ht="14.25" hidden="false" customHeight="true" outlineLevel="0" collapsed="false">
      <c r="A306" s="513" t="n">
        <v>43490</v>
      </c>
      <c r="B306" s="514" t="n">
        <v>2664.76001</v>
      </c>
      <c r="C306" s="515" t="n">
        <f aca="false">(B306-B305)/B305</f>
        <v>0.00848869419712219</v>
      </c>
      <c r="D306" s="516" t="n">
        <v>113.858307009702</v>
      </c>
      <c r="E306" s="515" t="n">
        <f aca="false">(D306-D305)/D305</f>
        <v>0.016269381258024</v>
      </c>
    </row>
    <row r="307" customFormat="false" ht="14.25" hidden="false" customHeight="true" outlineLevel="0" collapsed="false">
      <c r="A307" s="511" t="n">
        <v>43493</v>
      </c>
      <c r="B307" s="507" t="n">
        <v>2643.850098</v>
      </c>
      <c r="C307" s="518" t="n">
        <f aca="false">(B307-B306)/B306</f>
        <v>-0.00784682745220275</v>
      </c>
      <c r="D307" s="512" t="n">
        <v>112.400683273678</v>
      </c>
      <c r="E307" s="518" t="n">
        <f aca="false">(D307-D306)/D306</f>
        <v>-0.0128020851030202</v>
      </c>
    </row>
    <row r="308" customFormat="false" ht="14.25" hidden="false" customHeight="true" outlineLevel="0" collapsed="false">
      <c r="A308" s="513" t="n">
        <v>43494</v>
      </c>
      <c r="B308" s="514" t="n">
        <v>2640</v>
      </c>
      <c r="C308" s="515" t="n">
        <f aca="false">(B308-B307)/B307</f>
        <v>-0.00145624670737285</v>
      </c>
      <c r="D308" s="516" t="n">
        <v>112.111519995454</v>
      </c>
      <c r="E308" s="515" t="n">
        <f aca="false">(D308-D307)/D307</f>
        <v>-0.00257261139169348</v>
      </c>
    </row>
    <row r="309" customFormat="false" ht="14.25" hidden="false" customHeight="true" outlineLevel="0" collapsed="false">
      <c r="A309" s="511" t="n">
        <v>43495</v>
      </c>
      <c r="B309" s="507" t="n">
        <v>2681.050049</v>
      </c>
      <c r="C309" s="518" t="n">
        <f aca="false">(B309-B308)/B308</f>
        <v>0.0155492609848485</v>
      </c>
      <c r="D309" s="512" t="n">
        <v>114.970758810079</v>
      </c>
      <c r="E309" s="518" t="n">
        <f aca="false">(D309-D308)/D308</f>
        <v>0.0255035237658087</v>
      </c>
    </row>
    <row r="310" customFormat="false" ht="14.25" hidden="false" customHeight="true" outlineLevel="0" collapsed="false">
      <c r="A310" s="513" t="n">
        <v>43496</v>
      </c>
      <c r="B310" s="514" t="n">
        <v>2704.100098</v>
      </c>
      <c r="C310" s="515" t="n">
        <f aca="false">(B310-B309)/B309</f>
        <v>0.00859739601228158</v>
      </c>
      <c r="D310" s="516" t="n">
        <v>116.570947615026</v>
      </c>
      <c r="E310" s="515" t="n">
        <f aca="false">(D310-D309)/D309</f>
        <v>0.0139182242642267</v>
      </c>
    </row>
    <row r="311" customFormat="false" ht="14.25" hidden="false" customHeight="true" outlineLevel="0" collapsed="false">
      <c r="A311" s="511" t="n">
        <v>43497</v>
      </c>
      <c r="B311" s="507" t="n">
        <v>2706.530029</v>
      </c>
      <c r="C311" s="518" t="n">
        <f aca="false">(B311-B310)/B310</f>
        <v>0.000898609856120838</v>
      </c>
      <c r="D311" s="512" t="n">
        <v>116.756009255081</v>
      </c>
      <c r="E311" s="518" t="n">
        <f aca="false">(D311-D310)/D310</f>
        <v>0.0015875451288786</v>
      </c>
    </row>
    <row r="312" customFormat="false" ht="14.25" hidden="false" customHeight="true" outlineLevel="0" collapsed="false">
      <c r="A312" s="513" t="n">
        <v>43500</v>
      </c>
      <c r="B312" s="514" t="n">
        <v>2724.870117</v>
      </c>
      <c r="C312" s="515" t="n">
        <f aca="false">(B312-B311)/B311</f>
        <v>0.00677623665855877</v>
      </c>
      <c r="D312" s="516" t="n">
        <v>118.156067424803</v>
      </c>
      <c r="E312" s="515" t="n">
        <f aca="false">(D312-D311)/D311</f>
        <v>0.0119913157246</v>
      </c>
    </row>
    <row r="313" customFormat="false" ht="14.25" hidden="false" customHeight="true" outlineLevel="0" collapsed="false">
      <c r="A313" s="511" t="n">
        <v>43501</v>
      </c>
      <c r="B313" s="507" t="n">
        <v>2737.699951</v>
      </c>
      <c r="C313" s="518" t="n">
        <f aca="false">(B313-B312)/B312</f>
        <v>0.00470842038303293</v>
      </c>
      <c r="D313" s="512" t="n">
        <v>119.051802252333</v>
      </c>
      <c r="E313" s="518" t="n">
        <f aca="false">(D313-D312)/D312</f>
        <v>0.00758094651466012</v>
      </c>
    </row>
    <row r="314" customFormat="false" ht="14.25" hidden="false" customHeight="true" outlineLevel="0" collapsed="false">
      <c r="A314" s="513" t="n">
        <v>43502</v>
      </c>
      <c r="B314" s="514" t="n">
        <v>2731.610107</v>
      </c>
      <c r="C314" s="515" t="n">
        <f aca="false">(B314-B313)/B313</f>
        <v>-0.00222443807173816</v>
      </c>
      <c r="D314" s="516" t="n">
        <v>118.579874893936</v>
      </c>
      <c r="E314" s="515" t="n">
        <f aca="false">(D314-D313)/D313</f>
        <v>-0.00396405051808246</v>
      </c>
    </row>
    <row r="315" customFormat="false" ht="14.25" hidden="false" customHeight="true" outlineLevel="0" collapsed="false">
      <c r="A315" s="511" t="n">
        <v>43503</v>
      </c>
      <c r="B315" s="507" t="n">
        <v>2706.050049</v>
      </c>
      <c r="C315" s="518" t="n">
        <f aca="false">(B315-B314)/B314</f>
        <v>-0.00935713992802269</v>
      </c>
      <c r="D315" s="512" t="n">
        <v>116.684459231138</v>
      </c>
      <c r="E315" s="518" t="n">
        <f aca="false">(D315-D314)/D314</f>
        <v>-0.0159842946747359</v>
      </c>
    </row>
    <row r="316" customFormat="false" ht="14.25" hidden="false" customHeight="true" outlineLevel="0" collapsed="false">
      <c r="A316" s="513" t="n">
        <v>43504</v>
      </c>
      <c r="B316" s="514" t="n">
        <v>2707.879883</v>
      </c>
      <c r="C316" s="515" t="n">
        <f aca="false">(B316-B315)/B315</f>
        <v>0.000676201092687225</v>
      </c>
      <c r="D316" s="516" t="n">
        <v>116.821809866695</v>
      </c>
      <c r="E316" s="515" t="n">
        <f aca="false">(D316-D315)/D315</f>
        <v>0.0011771116433331</v>
      </c>
    </row>
    <row r="317" customFormat="false" ht="14.25" hidden="false" customHeight="true" outlineLevel="0" collapsed="false">
      <c r="A317" s="511" t="n">
        <v>43507</v>
      </c>
      <c r="B317" s="507" t="n">
        <v>2709.800049</v>
      </c>
      <c r="C317" s="518" t="n">
        <f aca="false">(B317-B316)/B316</f>
        <v>0.000709103092812437</v>
      </c>
      <c r="D317" s="512" t="n">
        <v>116.979526526516</v>
      </c>
      <c r="E317" s="518" t="n">
        <f aca="false">(D317-D316)/D316</f>
        <v>0.00135006177357602</v>
      </c>
    </row>
    <row r="318" customFormat="false" ht="14.25" hidden="false" customHeight="true" outlineLevel="0" collapsed="false">
      <c r="A318" s="513" t="n">
        <v>43508</v>
      </c>
      <c r="B318" s="514" t="n">
        <v>2744.72998</v>
      </c>
      <c r="C318" s="515" t="n">
        <f aca="false">(B318-B317)/B317</f>
        <v>0.0128902245067456</v>
      </c>
      <c r="D318" s="516" t="n">
        <v>119.739480138486</v>
      </c>
      <c r="E318" s="515" t="n">
        <f aca="false">(D318-D317)/D317</f>
        <v>0.023593475661268</v>
      </c>
    </row>
    <row r="319" customFormat="false" ht="14.25" hidden="false" customHeight="true" outlineLevel="0" collapsed="false">
      <c r="A319" s="511" t="n">
        <v>43509</v>
      </c>
      <c r="B319" s="507" t="n">
        <v>2753.030029</v>
      </c>
      <c r="C319" s="518" t="n">
        <f aca="false">(B319-B318)/B318</f>
        <v>0.00302399473189707</v>
      </c>
      <c r="D319" s="512" t="n">
        <v>120.399974919222</v>
      </c>
      <c r="E319" s="518" t="n">
        <f aca="false">(D319-D318)/D318</f>
        <v>0.00551609861653065</v>
      </c>
    </row>
    <row r="320" customFormat="false" ht="14.25" hidden="false" customHeight="true" outlineLevel="0" collapsed="false">
      <c r="A320" s="513" t="n">
        <v>43510</v>
      </c>
      <c r="B320" s="514" t="n">
        <v>2745.72998</v>
      </c>
      <c r="C320" s="515" t="n">
        <f aca="false">(B320-B319)/B319</f>
        <v>-0.00265164161781831</v>
      </c>
      <c r="D320" s="516" t="n">
        <v>119.817863468975</v>
      </c>
      <c r="E320" s="515" t="n">
        <f aca="false">(D320-D319)/D319</f>
        <v>-0.00483481371684292</v>
      </c>
    </row>
    <row r="321" customFormat="false" ht="14.25" hidden="false" customHeight="true" outlineLevel="0" collapsed="false">
      <c r="A321" s="511" t="n">
        <v>43511</v>
      </c>
      <c r="B321" s="507" t="n">
        <v>2775.600098</v>
      </c>
      <c r="C321" s="518" t="n">
        <f aca="false">(B321-B320)/B320</f>
        <v>0.0108787529063582</v>
      </c>
      <c r="D321" s="512" t="n">
        <v>121.922837038147</v>
      </c>
      <c r="E321" s="518" t="n">
        <f aca="false">(D321-D320)/D320</f>
        <v>0.0175681113669419</v>
      </c>
    </row>
    <row r="322" customFormat="false" ht="14.25" hidden="false" customHeight="true" outlineLevel="0" collapsed="false">
      <c r="A322" s="513" t="n">
        <v>43515</v>
      </c>
      <c r="B322" s="514" t="n">
        <v>2779.76001</v>
      </c>
      <c r="C322" s="515" t="n">
        <f aca="false">(B322-B321)/B321</f>
        <v>0.00149874328185734</v>
      </c>
      <c r="D322" s="516" t="n">
        <v>122.241188603906</v>
      </c>
      <c r="E322" s="515" t="n">
        <f aca="false">(D322-D321)/D321</f>
        <v>0.0026110905347404</v>
      </c>
    </row>
    <row r="323" customFormat="false" ht="14.25" hidden="false" customHeight="true" outlineLevel="0" collapsed="false">
      <c r="A323" s="511" t="n">
        <v>43516</v>
      </c>
      <c r="B323" s="507" t="n">
        <v>2784.699951</v>
      </c>
      <c r="C323" s="518" t="n">
        <f aca="false">(B323-B322)/B322</f>
        <v>0.00177711060747294</v>
      </c>
      <c r="D323" s="512" t="n">
        <v>122.590600152074</v>
      </c>
      <c r="E323" s="518" t="n">
        <f aca="false">(D323-D322)/D322</f>
        <v>0.00285837819607754</v>
      </c>
    </row>
    <row r="324" customFormat="false" ht="14.25" hidden="false" customHeight="true" outlineLevel="0" collapsed="false">
      <c r="A324" s="513" t="n">
        <v>43517</v>
      </c>
      <c r="B324" s="514" t="n">
        <v>2774.879883</v>
      </c>
      <c r="C324" s="515" t="n">
        <f aca="false">(B324-B323)/B323</f>
        <v>-0.00352643666204452</v>
      </c>
      <c r="D324" s="516" t="n">
        <v>121.884488420861</v>
      </c>
      <c r="E324" s="515" t="n">
        <f aca="false">(D324-D323)/D323</f>
        <v>-0.00575991740261542</v>
      </c>
    </row>
    <row r="325" customFormat="false" ht="14.25" hidden="false" customHeight="true" outlineLevel="0" collapsed="false">
      <c r="A325" s="511" t="n">
        <v>43518</v>
      </c>
      <c r="B325" s="507" t="n">
        <v>2792.669922</v>
      </c>
      <c r="C325" s="518" t="n">
        <f aca="false">(B325-B324)/B324</f>
        <v>0.00641110237203013</v>
      </c>
      <c r="D325" s="512" t="n">
        <v>123.208353569407</v>
      </c>
      <c r="E325" s="518" t="n">
        <f aca="false">(D325-D324)/D324</f>
        <v>0.0108616376513372</v>
      </c>
    </row>
    <row r="326" customFormat="false" ht="14.25" hidden="false" customHeight="true" outlineLevel="0" collapsed="false">
      <c r="A326" s="513" t="n">
        <v>43521</v>
      </c>
      <c r="B326" s="514" t="n">
        <v>2796.110107</v>
      </c>
      <c r="C326" s="515" t="n">
        <f aca="false">(B326-B325)/B325</f>
        <v>0.00123186237403101</v>
      </c>
      <c r="D326" s="516" t="n">
        <v>123.492379719536</v>
      </c>
      <c r="E326" s="515" t="n">
        <f aca="false">(D326-D325)/D325</f>
        <v>0.00230525075533136</v>
      </c>
    </row>
    <row r="327" customFormat="false" ht="14.25" hidden="false" customHeight="true" outlineLevel="0" collapsed="false">
      <c r="A327" s="511" t="n">
        <v>43522</v>
      </c>
      <c r="B327" s="507" t="n">
        <v>2793.899902</v>
      </c>
      <c r="C327" s="518" t="n">
        <f aca="false">(B327-B326)/B326</f>
        <v>-0.000790457069078453</v>
      </c>
      <c r="D327" s="512" t="n">
        <v>123.322618815643</v>
      </c>
      <c r="E327" s="518" t="n">
        <f aca="false">(D327-D326)/D326</f>
        <v>-0.00137466703839177</v>
      </c>
    </row>
    <row r="328" customFormat="false" ht="14.25" hidden="false" customHeight="true" outlineLevel="0" collapsed="false">
      <c r="A328" s="513" t="n">
        <v>43523</v>
      </c>
      <c r="B328" s="514" t="n">
        <v>2792.379883</v>
      </c>
      <c r="C328" s="515" t="n">
        <f aca="false">(B328-B327)/B327</f>
        <v>-0.000544049197650907</v>
      </c>
      <c r="D328" s="516" t="n">
        <v>123.211414550186</v>
      </c>
      <c r="E328" s="515" t="n">
        <f aca="false">(D328-D327)/D327</f>
        <v>-0.000901734544116611</v>
      </c>
    </row>
    <row r="329" customFormat="false" ht="14.25" hidden="false" customHeight="true" outlineLevel="0" collapsed="false">
      <c r="A329" s="511" t="n">
        <v>43524</v>
      </c>
      <c r="B329" s="507" t="n">
        <v>2784.48999</v>
      </c>
      <c r="C329" s="518" t="n">
        <f aca="false">(B329-B328)/B328</f>
        <v>-0.0028255084661058</v>
      </c>
      <c r="D329" s="512" t="n">
        <v>122.653805237397</v>
      </c>
      <c r="E329" s="518" t="n">
        <f aca="false">(D329-D328)/D328</f>
        <v>-0.00452563031456707</v>
      </c>
    </row>
    <row r="330" customFormat="false" ht="14.25" hidden="false" customHeight="true" outlineLevel="0" collapsed="false">
      <c r="A330" s="513" t="n">
        <v>43525</v>
      </c>
      <c r="B330" s="514" t="n">
        <v>2803.689941</v>
      </c>
      <c r="C330" s="515" t="n">
        <f aca="false">(B330-B329)/B329</f>
        <v>0.00689532053228895</v>
      </c>
      <c r="D330" s="516" t="n">
        <v>124.254341603683</v>
      </c>
      <c r="E330" s="515" t="n">
        <f aca="false">(D330-D329)/D329</f>
        <v>0.0130492190045646</v>
      </c>
    </row>
    <row r="331" customFormat="false" ht="14.25" hidden="false" customHeight="true" outlineLevel="0" collapsed="false">
      <c r="A331" s="511" t="n">
        <v>43528</v>
      </c>
      <c r="B331" s="507" t="n">
        <v>2792.810059</v>
      </c>
      <c r="C331" s="518" t="n">
        <f aca="false">(B331-B330)/B330</f>
        <v>-0.00388055820327965</v>
      </c>
      <c r="D331" s="512" t="n">
        <v>123.454021842665</v>
      </c>
      <c r="E331" s="518" t="n">
        <f aca="false">(D331-D330)/D330</f>
        <v>-0.00644098025621247</v>
      </c>
    </row>
    <row r="332" customFormat="false" ht="14.25" hidden="false" customHeight="true" outlineLevel="0" collapsed="false">
      <c r="A332" s="513" t="n">
        <v>43529</v>
      </c>
      <c r="B332" s="514" t="n">
        <v>2789.649902</v>
      </c>
      <c r="C332" s="515" t="n">
        <f aca="false">(B332-B331)/B331</f>
        <v>-0.00113153309148827</v>
      </c>
      <c r="D332" s="516" t="n">
        <v>123.197008398507</v>
      </c>
      <c r="E332" s="515" t="n">
        <f aca="false">(D332-D331)/D331</f>
        <v>-0.00208185557928241</v>
      </c>
    </row>
    <row r="333" customFormat="false" ht="14.25" hidden="false" customHeight="true" outlineLevel="0" collapsed="false">
      <c r="A333" s="511" t="n">
        <v>43530</v>
      </c>
      <c r="B333" s="507" t="n">
        <v>2771.449951</v>
      </c>
      <c r="C333" s="518" t="n">
        <f aca="false">(B333-B332)/B332</f>
        <v>-0.00652409859278466</v>
      </c>
      <c r="D333" s="512" t="n">
        <v>121.840648765401</v>
      </c>
      <c r="E333" s="518" t="n">
        <f aca="false">(D333-D332)/D332</f>
        <v>-0.0110096799487092</v>
      </c>
    </row>
    <row r="334" customFormat="false" ht="14.25" hidden="false" customHeight="true" outlineLevel="0" collapsed="false">
      <c r="A334" s="513" t="n">
        <v>43531</v>
      </c>
      <c r="B334" s="514" t="n">
        <v>2748.929932</v>
      </c>
      <c r="C334" s="515" t="n">
        <f aca="false">(B334-B333)/B333</f>
        <v>-0.00812571736750084</v>
      </c>
      <c r="D334" s="516" t="n">
        <v>120.238101196416</v>
      </c>
      <c r="E334" s="515" t="n">
        <f aca="false">(D334-D333)/D333</f>
        <v>-0.0131528154620273</v>
      </c>
    </row>
    <row r="335" customFormat="false" ht="14.25" hidden="false" customHeight="true" outlineLevel="0" collapsed="false">
      <c r="A335" s="511" t="n">
        <v>43532</v>
      </c>
      <c r="B335" s="507" t="n">
        <v>2743.070068</v>
      </c>
      <c r="C335" s="518" t="n">
        <f aca="false">(B335-B334)/B334</f>
        <v>-0.00213168910992818</v>
      </c>
      <c r="D335" s="512" t="n">
        <v>119.823338526138</v>
      </c>
      <c r="E335" s="518" t="n">
        <f aca="false">(D335-D334)/D334</f>
        <v>-0.00344951114622523</v>
      </c>
    </row>
    <row r="336" customFormat="false" ht="14.25" hidden="false" customHeight="true" outlineLevel="0" collapsed="false">
      <c r="A336" s="513" t="n">
        <v>43535</v>
      </c>
      <c r="B336" s="514" t="n">
        <v>2783.300049</v>
      </c>
      <c r="C336" s="515" t="n">
        <f aca="false">(B336-B335)/B335</f>
        <v>0.0146660420633484</v>
      </c>
      <c r="D336" s="516" t="n">
        <v>122.85130933767</v>
      </c>
      <c r="E336" s="515" t="n">
        <f aca="false">(D336-D335)/D335</f>
        <v>0.0252702924887332</v>
      </c>
    </row>
    <row r="337" customFormat="false" ht="14.25" hidden="false" customHeight="true" outlineLevel="0" collapsed="false">
      <c r="A337" s="511" t="n">
        <v>43536</v>
      </c>
      <c r="B337" s="507" t="n">
        <v>2791.52002</v>
      </c>
      <c r="C337" s="518" t="n">
        <f aca="false">(B337-B336)/B336</f>
        <v>0.00295331831110099</v>
      </c>
      <c r="D337" s="512" t="n">
        <v>123.476614680769</v>
      </c>
      <c r="E337" s="518" t="n">
        <f aca="false">(D337-D336)/D336</f>
        <v>0.00508993633417681</v>
      </c>
    </row>
    <row r="338" customFormat="false" ht="14.25" hidden="false" customHeight="true" outlineLevel="0" collapsed="false">
      <c r="A338" s="513" t="n">
        <v>43537</v>
      </c>
      <c r="B338" s="514" t="n">
        <v>2810.919922</v>
      </c>
      <c r="C338" s="515" t="n">
        <f aca="false">(B338-B337)/B337</f>
        <v>0.00694958368953417</v>
      </c>
      <c r="D338" s="516" t="n">
        <v>125.043275291817</v>
      </c>
      <c r="E338" s="515" t="n">
        <f aca="false">(D338-D337)/D337</f>
        <v>0.012687913538109</v>
      </c>
    </row>
    <row r="339" customFormat="false" ht="14.25" hidden="false" customHeight="true" outlineLevel="0" collapsed="false">
      <c r="A339" s="511" t="n">
        <v>43538</v>
      </c>
      <c r="B339" s="507" t="n">
        <v>2808.47998</v>
      </c>
      <c r="C339" s="518" t="n">
        <f aca="false">(B339-B338)/B338</f>
        <v>-0.000868022593209958</v>
      </c>
      <c r="D339" s="512" t="n">
        <v>124.853674282706</v>
      </c>
      <c r="E339" s="518" t="n">
        <f aca="false">(D339-D338)/D338</f>
        <v>-0.00151628313212785</v>
      </c>
    </row>
    <row r="340" customFormat="false" ht="14.25" hidden="false" customHeight="true" outlineLevel="0" collapsed="false">
      <c r="A340" s="513" t="n">
        <v>43539</v>
      </c>
      <c r="B340" s="514" t="n">
        <v>2822.47998</v>
      </c>
      <c r="C340" s="515" t="n">
        <f aca="false">(B340-B339)/B339</f>
        <v>0.00498490290110596</v>
      </c>
      <c r="D340" s="516" t="n">
        <v>126.044160851785</v>
      </c>
      <c r="E340" s="515" t="n">
        <f aca="false">(D340-D339)/D339</f>
        <v>0.00953505434196019</v>
      </c>
    </row>
    <row r="341" customFormat="false" ht="14.25" hidden="false" customHeight="true" outlineLevel="0" collapsed="false">
      <c r="A341" s="511" t="n">
        <v>43542</v>
      </c>
      <c r="B341" s="507" t="n">
        <v>2832.939941</v>
      </c>
      <c r="C341" s="518" t="n">
        <f aca="false">(B341-B340)/B340</f>
        <v>0.00370594692402389</v>
      </c>
      <c r="D341" s="512" t="n">
        <v>126.854328382787</v>
      </c>
      <c r="E341" s="518" t="n">
        <f aca="false">(D341-D340)/D340</f>
        <v>0.00642764825857092</v>
      </c>
    </row>
    <row r="342" customFormat="false" ht="14.25" hidden="false" customHeight="true" outlineLevel="0" collapsed="false">
      <c r="A342" s="513" t="n">
        <v>43543</v>
      </c>
      <c r="B342" s="514" t="n">
        <v>2832.570068</v>
      </c>
      <c r="C342" s="515" t="n">
        <f aca="false">(B342-B341)/B341</f>
        <v>-0.000130561539497211</v>
      </c>
      <c r="D342" s="516" t="n">
        <v>126.822724534642</v>
      </c>
      <c r="E342" s="515" t="n">
        <f aca="false">(D342-D341)/D341</f>
        <v>-0.000249134960926448</v>
      </c>
    </row>
    <row r="343" customFormat="false" ht="14.25" hidden="false" customHeight="true" outlineLevel="0" collapsed="false">
      <c r="A343" s="511" t="n">
        <v>43544</v>
      </c>
      <c r="B343" s="507" t="n">
        <v>2824.22998</v>
      </c>
      <c r="C343" s="518" t="n">
        <f aca="false">(B343-B342)/B342</f>
        <v>-0.00294435364343472</v>
      </c>
      <c r="D343" s="512" t="n">
        <v>126.222852617554</v>
      </c>
      <c r="E343" s="518" t="n">
        <f aca="false">(D343-D342)/D342</f>
        <v>-0.00473000339086827</v>
      </c>
    </row>
    <row r="344" customFormat="false" ht="14.25" hidden="false" customHeight="true" outlineLevel="0" collapsed="false">
      <c r="A344" s="513" t="n">
        <v>43545</v>
      </c>
      <c r="B344" s="514" t="n">
        <v>2854.879883</v>
      </c>
      <c r="C344" s="515" t="n">
        <f aca="false">(B344-B343)/B343</f>
        <v>0.0108524812841198</v>
      </c>
      <c r="D344" s="516" t="n">
        <v>128.714707356022</v>
      </c>
      <c r="E344" s="515" t="n">
        <f aca="false">(D344-D343)/D343</f>
        <v>0.0197417083102862</v>
      </c>
    </row>
    <row r="345" customFormat="false" ht="14.25" hidden="false" customHeight="true" outlineLevel="0" collapsed="false">
      <c r="A345" s="511" t="n">
        <v>43546</v>
      </c>
      <c r="B345" s="507" t="n">
        <v>2800.709961</v>
      </c>
      <c r="C345" s="518" t="n">
        <f aca="false">(B345-B344)/B344</f>
        <v>-0.0189745012820212</v>
      </c>
      <c r="D345" s="512" t="n">
        <v>124.731309642011</v>
      </c>
      <c r="E345" s="518" t="n">
        <f aca="false">(D345-D344)/D344</f>
        <v>-0.0309474946246275</v>
      </c>
    </row>
    <row r="346" customFormat="false" ht="14.25" hidden="false" customHeight="true" outlineLevel="0" collapsed="false">
      <c r="A346" s="513" t="n">
        <v>43549</v>
      </c>
      <c r="B346" s="514" t="n">
        <v>2798.360107</v>
      </c>
      <c r="C346" s="515" t="n">
        <f aca="false">(B346-B345)/B345</f>
        <v>-0.000839020831404131</v>
      </c>
      <c r="D346" s="516" t="n">
        <v>124.535495453049</v>
      </c>
      <c r="E346" s="515" t="n">
        <f aca="false">(D346-D345)/D345</f>
        <v>-0.00156988802189287</v>
      </c>
    </row>
    <row r="347" customFormat="false" ht="14.25" hidden="false" customHeight="true" outlineLevel="0" collapsed="false">
      <c r="A347" s="511" t="n">
        <v>43550</v>
      </c>
      <c r="B347" s="507" t="n">
        <v>2818.459961</v>
      </c>
      <c r="C347" s="518" t="n">
        <f aca="false">(B347-B346)/B346</f>
        <v>0.0071827260364815</v>
      </c>
      <c r="D347" s="512" t="n">
        <v>126.056565516789</v>
      </c>
      <c r="E347" s="518" t="n">
        <f aca="false">(D347-D346)/D346</f>
        <v>0.0122139479849217</v>
      </c>
    </row>
    <row r="348" customFormat="false" ht="14.25" hidden="false" customHeight="true" outlineLevel="0" collapsed="false">
      <c r="A348" s="513" t="n">
        <v>43551</v>
      </c>
      <c r="B348" s="514" t="n">
        <v>2805.370117</v>
      </c>
      <c r="C348" s="515" t="n">
        <f aca="false">(B348-B347)/B347</f>
        <v>-0.00464432497928967</v>
      </c>
      <c r="D348" s="516" t="n">
        <v>125.113228639223</v>
      </c>
      <c r="E348" s="515" t="n">
        <f aca="false">(D348-D347)/D347</f>
        <v>-0.00748344105440789</v>
      </c>
    </row>
    <row r="349" customFormat="false" ht="14.25" hidden="false" customHeight="true" outlineLevel="0" collapsed="false">
      <c r="A349" s="511" t="n">
        <v>43552</v>
      </c>
      <c r="B349" s="507" t="n">
        <v>2815.439941</v>
      </c>
      <c r="C349" s="518" t="n">
        <f aca="false">(B349-B348)/B348</f>
        <v>0.00358948145165551</v>
      </c>
      <c r="D349" s="512" t="n">
        <v>125.969524921749</v>
      </c>
      <c r="E349" s="518" t="n">
        <f aca="false">(D349-D348)/D348</f>
        <v>0.00684417061120869</v>
      </c>
    </row>
    <row r="350" customFormat="false" ht="14.25" hidden="false" customHeight="true" outlineLevel="0" collapsed="false">
      <c r="A350" s="513" t="n">
        <v>43553</v>
      </c>
      <c r="B350" s="514" t="n">
        <v>2834.399902</v>
      </c>
      <c r="C350" s="515" t="n">
        <f aca="false">(B350-B349)/B349</f>
        <v>0.00673428004053453</v>
      </c>
      <c r="D350" s="516" t="n">
        <v>127.552997338255</v>
      </c>
      <c r="E350" s="515" t="n">
        <f aca="false">(D350-D349)/D349</f>
        <v>0.0125702817208339</v>
      </c>
    </row>
    <row r="351" customFormat="false" ht="14.25" hidden="false" customHeight="true" outlineLevel="0" collapsed="false">
      <c r="A351" s="511" t="n">
        <v>43556</v>
      </c>
      <c r="B351" s="507" t="n">
        <v>2867.189941</v>
      </c>
      <c r="C351" s="518" t="n">
        <f aca="false">(B351-B350)/B350</f>
        <v>0.0115686001036279</v>
      </c>
      <c r="D351" s="512" t="n">
        <v>130.115501921951</v>
      </c>
      <c r="E351" s="518" t="n">
        <f aca="false">(D351-D350)/D350</f>
        <v>0.0200897245628854</v>
      </c>
    </row>
    <row r="352" customFormat="false" ht="14.25" hidden="false" customHeight="true" outlineLevel="0" collapsed="false">
      <c r="A352" s="513" t="n">
        <v>43557</v>
      </c>
      <c r="B352" s="514" t="n">
        <v>2867.23999</v>
      </c>
      <c r="C352" s="515" t="n">
        <f aca="false">(B352-B351)/B351</f>
        <v>1.74557671552408E-005</v>
      </c>
      <c r="D352" s="516" t="n">
        <v>130.119369335514</v>
      </c>
      <c r="E352" s="515" t="n">
        <f aca="false">(D352-D351)/D351</f>
        <v>2.97229269831369E-005</v>
      </c>
    </row>
    <row r="353" customFormat="false" ht="14.25" hidden="false" customHeight="true" outlineLevel="0" collapsed="false">
      <c r="A353" s="511" t="n">
        <v>43558</v>
      </c>
      <c r="B353" s="507" t="n">
        <v>2873.399902</v>
      </c>
      <c r="C353" s="518" t="n">
        <f aca="false">(B353-B352)/B352</f>
        <v>0.00214837684375352</v>
      </c>
      <c r="D353" s="512" t="n">
        <v>130.587153109621</v>
      </c>
      <c r="E353" s="518" t="n">
        <f aca="false">(D353-D352)/D352</f>
        <v>0.00359503566990722</v>
      </c>
    </row>
    <row r="354" customFormat="false" ht="14.25" hidden="false" customHeight="true" outlineLevel="0" collapsed="false">
      <c r="A354" s="513" t="n">
        <v>43559</v>
      </c>
      <c r="B354" s="514" t="n">
        <v>2879.389893</v>
      </c>
      <c r="C354" s="515" t="n">
        <f aca="false">(B354-B353)/B353</f>
        <v>0.00208463534638205</v>
      </c>
      <c r="D354" s="516" t="n">
        <v>131.09216463874</v>
      </c>
      <c r="E354" s="515" t="n">
        <f aca="false">(D354-D353)/D353</f>
        <v>0.00386723745095409</v>
      </c>
    </row>
    <row r="355" customFormat="false" ht="14.25" hidden="false" customHeight="true" outlineLevel="0" collapsed="false">
      <c r="A355" s="511" t="n">
        <v>43560</v>
      </c>
      <c r="B355" s="507" t="n">
        <v>2892.73999</v>
      </c>
      <c r="C355" s="518" t="n">
        <f aca="false">(B355-B354)/B354</f>
        <v>0.00463643254164885</v>
      </c>
      <c r="D355" s="512" t="n">
        <v>132.126487933104</v>
      </c>
      <c r="E355" s="518" t="n">
        <f aca="false">(D355-D354)/D354</f>
        <v>0.00789004664935044</v>
      </c>
    </row>
    <row r="356" customFormat="false" ht="14.25" hidden="false" customHeight="true" outlineLevel="0" collapsed="false">
      <c r="A356" s="513" t="n">
        <v>43563</v>
      </c>
      <c r="B356" s="514" t="n">
        <v>2895.77002</v>
      </c>
      <c r="C356" s="515" t="n">
        <f aca="false">(B356-B355)/B355</f>
        <v>0.00104746019707077</v>
      </c>
      <c r="D356" s="516" t="n">
        <v>132.36627636625</v>
      </c>
      <c r="E356" s="515" t="n">
        <f aca="false">(D356-D355)/D355</f>
        <v>0.00181483998323946</v>
      </c>
    </row>
    <row r="357" customFormat="false" ht="14.25" hidden="false" customHeight="true" outlineLevel="0" collapsed="false">
      <c r="A357" s="511" t="n">
        <v>43564</v>
      </c>
      <c r="B357" s="507" t="n">
        <v>2878.199951</v>
      </c>
      <c r="C357" s="518" t="n">
        <f aca="false">(B357-B356)/B356</f>
        <v>-0.00606749461409227</v>
      </c>
      <c r="D357" s="512" t="n">
        <v>130.923980406073</v>
      </c>
      <c r="E357" s="518" t="n">
        <f aca="false">(D357-D356)/D356</f>
        <v>-0.010896249405598</v>
      </c>
    </row>
    <row r="358" customFormat="false" ht="14.25" hidden="false" customHeight="true" outlineLevel="0" collapsed="false">
      <c r="A358" s="513" t="n">
        <v>43565</v>
      </c>
      <c r="B358" s="514" t="n">
        <v>2888.209961</v>
      </c>
      <c r="C358" s="515" t="n">
        <f aca="false">(B358-B357)/B357</f>
        <v>0.00347787164561729</v>
      </c>
      <c r="D358" s="516" t="n">
        <v>131.695869830669</v>
      </c>
      <c r="E358" s="515" t="n">
        <f aca="false">(D358-D357)/D357</f>
        <v>0.00589570697592534</v>
      </c>
    </row>
    <row r="359" customFormat="false" ht="14.25" hidden="false" customHeight="true" outlineLevel="0" collapsed="false">
      <c r="A359" s="511" t="n">
        <v>43566</v>
      </c>
      <c r="B359" s="507" t="n">
        <v>2888.320068</v>
      </c>
      <c r="C359" s="518" t="n">
        <f aca="false">(B359-B358)/B358</f>
        <v>3.81229209395317E-005</v>
      </c>
      <c r="D359" s="512" t="n">
        <v>131.705017971444</v>
      </c>
      <c r="E359" s="518" t="n">
        <f aca="false">(D359-D358)/D358</f>
        <v>6.94641433079483E-005</v>
      </c>
    </row>
    <row r="360" customFormat="false" ht="14.25" hidden="false" customHeight="true" outlineLevel="0" collapsed="false">
      <c r="A360" s="513" t="n">
        <v>43567</v>
      </c>
      <c r="B360" s="514" t="n">
        <v>2907.409912</v>
      </c>
      <c r="C360" s="515" t="n">
        <f aca="false">(B360-B359)/B359</f>
        <v>0.00660932429598037</v>
      </c>
      <c r="D360" s="516" t="n">
        <v>133.242853079508</v>
      </c>
      <c r="E360" s="515" t="n">
        <f aca="false">(D360-D359)/D359</f>
        <v>0.0116763592743097</v>
      </c>
    </row>
    <row r="361" customFormat="false" ht="14.25" hidden="false" customHeight="true" outlineLevel="0" collapsed="false">
      <c r="A361" s="511" t="n">
        <v>43570</v>
      </c>
      <c r="B361" s="507" t="n">
        <v>2905.580078</v>
      </c>
      <c r="C361" s="518" t="n">
        <f aca="false">(B361-B360)/B360</f>
        <v>-0.00062936911387957</v>
      </c>
      <c r="D361" s="512" t="n">
        <v>133.082517922328</v>
      </c>
      <c r="E361" s="518" t="n">
        <f aca="false">(D361-D360)/D360</f>
        <v>-0.00120333026105582</v>
      </c>
    </row>
    <row r="362" customFormat="false" ht="14.25" hidden="false" customHeight="true" outlineLevel="0" collapsed="false">
      <c r="A362" s="513" t="n">
        <v>43571</v>
      </c>
      <c r="B362" s="514" t="n">
        <v>2907.060059</v>
      </c>
      <c r="C362" s="515" t="n">
        <f aca="false">(B362-B361)/B361</f>
        <v>0.000509358186754457</v>
      </c>
      <c r="D362" s="516" t="n">
        <v>133.195670309381</v>
      </c>
      <c r="E362" s="515" t="n">
        <f aca="false">(D362-D361)/D361</f>
        <v>0.000850242306949977</v>
      </c>
    </row>
    <row r="363" customFormat="false" ht="14.25" hidden="false" customHeight="true" outlineLevel="0" collapsed="false">
      <c r="A363" s="511" t="n">
        <v>43572</v>
      </c>
      <c r="B363" s="507" t="n">
        <v>2900.449951</v>
      </c>
      <c r="C363" s="518" t="n">
        <f aca="false">(B363-B362)/B362</f>
        <v>-0.00227381198387544</v>
      </c>
      <c r="D363" s="512" t="n">
        <v>132.641442251791</v>
      </c>
      <c r="E363" s="518" t="n">
        <f aca="false">(D363-D362)/D362</f>
        <v>-0.00416100655751541</v>
      </c>
    </row>
    <row r="364" customFormat="false" ht="14.25" hidden="false" customHeight="true" outlineLevel="0" collapsed="false">
      <c r="A364" s="513" t="n">
        <v>43573</v>
      </c>
      <c r="B364" s="514" t="n">
        <v>2905.030029</v>
      </c>
      <c r="C364" s="515" t="n">
        <f aca="false">(B364-B363)/B363</f>
        <v>0.00157909223650657</v>
      </c>
      <c r="D364" s="516" t="n">
        <v>132.997967345175</v>
      </c>
      <c r="E364" s="515" t="n">
        <f aca="false">(D364-D363)/D363</f>
        <v>0.00268788613371082</v>
      </c>
    </row>
    <row r="365" customFormat="false" ht="14.25" hidden="false" customHeight="true" outlineLevel="0" collapsed="false">
      <c r="A365" s="511" t="n">
        <v>43577</v>
      </c>
      <c r="B365" s="507" t="n">
        <v>2907.969971</v>
      </c>
      <c r="C365" s="518" t="n">
        <f aca="false">(B365-B364)/B364</f>
        <v>0.00101201776596161</v>
      </c>
      <c r="D365" s="512" t="n">
        <v>133.227774785271</v>
      </c>
      <c r="E365" s="518" t="n">
        <f aca="false">(D365-D364)/D364</f>
        <v>0.00172790189717398</v>
      </c>
    </row>
    <row r="366" customFormat="false" ht="14.25" hidden="false" customHeight="true" outlineLevel="0" collapsed="false">
      <c r="A366" s="513" t="n">
        <v>43578</v>
      </c>
      <c r="B366" s="514" t="n">
        <v>2933.679932</v>
      </c>
      <c r="C366" s="515" t="n">
        <f aca="false">(B366-B365)/B365</f>
        <v>0.00884120580899906</v>
      </c>
      <c r="D366" s="516" t="n">
        <v>135.414399368869</v>
      </c>
      <c r="E366" s="515" t="n">
        <f aca="false">(D366-D365)/D365</f>
        <v>0.0164126781155226</v>
      </c>
    </row>
    <row r="367" customFormat="false" ht="14.25" hidden="false" customHeight="true" outlineLevel="0" collapsed="false">
      <c r="A367" s="511" t="n">
        <v>43579</v>
      </c>
      <c r="B367" s="507" t="n">
        <v>2927.25</v>
      </c>
      <c r="C367" s="518" t="n">
        <f aca="false">(B367-B366)/B366</f>
        <v>-0.00219176329696487</v>
      </c>
      <c r="D367" s="512" t="n">
        <v>134.905590979036</v>
      </c>
      <c r="E367" s="518" t="n">
        <f aca="false">(D367-D366)/D366</f>
        <v>-0.0037574171742771</v>
      </c>
    </row>
    <row r="368" customFormat="false" ht="14.25" hidden="false" customHeight="true" outlineLevel="0" collapsed="false">
      <c r="A368" s="513" t="n">
        <v>43580</v>
      </c>
      <c r="B368" s="514" t="n">
        <v>2926.169922</v>
      </c>
      <c r="C368" s="515" t="n">
        <f aca="false">(B368-B367)/B367</f>
        <v>-0.000368973610043542</v>
      </c>
      <c r="D368" s="516" t="n">
        <v>134.820991484419</v>
      </c>
      <c r="E368" s="515" t="n">
        <f aca="false">(D368-D367)/D367</f>
        <v>-0.000627101471503339</v>
      </c>
    </row>
    <row r="369" customFormat="false" ht="14.25" hidden="false" customHeight="true" outlineLevel="0" collapsed="false">
      <c r="A369" s="511" t="n">
        <v>43581</v>
      </c>
      <c r="B369" s="507" t="n">
        <v>2939.879883</v>
      </c>
      <c r="C369" s="518" t="n">
        <f aca="false">(B369-B368)/B368</f>
        <v>0.00468529216192252</v>
      </c>
      <c r="D369" s="512" t="n">
        <v>135.910159358712</v>
      </c>
      <c r="E369" s="518" t="n">
        <f aca="false">(D369-D368)/D368</f>
        <v>0.00807862234434665</v>
      </c>
    </row>
    <row r="370" customFormat="false" ht="14.25" hidden="false" customHeight="true" outlineLevel="0" collapsed="false">
      <c r="A370" s="513" t="n">
        <v>43584</v>
      </c>
      <c r="B370" s="514" t="n">
        <v>2943.030029</v>
      </c>
      <c r="C370" s="515" t="n">
        <f aca="false">(B370-B369)/B369</f>
        <v>0.00107152200952693</v>
      </c>
      <c r="D370" s="516" t="n">
        <v>136.177010344083</v>
      </c>
      <c r="E370" s="515" t="n">
        <f aca="false">(D370-D369)/D369</f>
        <v>0.00196343663071332</v>
      </c>
    </row>
    <row r="371" customFormat="false" ht="14.25" hidden="false" customHeight="true" outlineLevel="0" collapsed="false">
      <c r="A371" s="511" t="n">
        <v>43585</v>
      </c>
      <c r="B371" s="507" t="n">
        <v>2945.830078</v>
      </c>
      <c r="C371" s="518" t="n">
        <f aca="false">(B371-B370)/B370</f>
        <v>0.000951417067583018</v>
      </c>
      <c r="D371" s="512" t="n">
        <v>136.418193490033</v>
      </c>
      <c r="E371" s="518" t="n">
        <f aca="false">(D371-D370)/D370</f>
        <v>0.0017711003152485</v>
      </c>
    </row>
    <row r="372" customFormat="false" ht="14.25" hidden="false" customHeight="true" outlineLevel="0" collapsed="false">
      <c r="A372" s="513" t="n">
        <v>43586</v>
      </c>
      <c r="B372" s="514" t="n">
        <v>2923.72998</v>
      </c>
      <c r="C372" s="515" t="n">
        <f aca="false">(B372-B371)/B371</f>
        <v>-0.00750216319843004</v>
      </c>
      <c r="D372" s="516" t="n">
        <v>134.498678801545</v>
      </c>
      <c r="E372" s="515" t="n">
        <f aca="false">(D372-D371)/D371</f>
        <v>-0.0140708115199329</v>
      </c>
    </row>
    <row r="373" customFormat="false" ht="14.25" hidden="false" customHeight="true" outlineLevel="0" collapsed="false">
      <c r="A373" s="511" t="n">
        <v>43587</v>
      </c>
      <c r="B373" s="507" t="n">
        <v>2917.52002</v>
      </c>
      <c r="C373" s="518" t="n">
        <f aca="false">(B373-B372)/B372</f>
        <v>-0.00212398547146277</v>
      </c>
      <c r="D373" s="512" t="n">
        <v>133.970847073056</v>
      </c>
      <c r="E373" s="518" t="n">
        <f aca="false">(D373-D372)/D372</f>
        <v>-0.00392443801821886</v>
      </c>
    </row>
    <row r="374" customFormat="false" ht="14.25" hidden="false" customHeight="true" outlineLevel="0" collapsed="false">
      <c r="A374" s="513" t="n">
        <v>43588</v>
      </c>
      <c r="B374" s="514" t="n">
        <v>2945.639893</v>
      </c>
      <c r="C374" s="515" t="n">
        <f aca="false">(B374-B373)/B373</f>
        <v>0.00963827936303248</v>
      </c>
      <c r="D374" s="516" t="n">
        <v>136.425601726485</v>
      </c>
      <c r="E374" s="515" t="n">
        <f aca="false">(D374-D373)/D373</f>
        <v>0.0183230509253285</v>
      </c>
    </row>
    <row r="375" customFormat="false" ht="14.25" hidden="false" customHeight="true" outlineLevel="0" collapsed="false">
      <c r="A375" s="511" t="n">
        <v>43591</v>
      </c>
      <c r="B375" s="507" t="n">
        <v>2932.469971</v>
      </c>
      <c r="C375" s="518" t="n">
        <f aca="false">(B375-B374)/B374</f>
        <v>-0.00447098847055167</v>
      </c>
      <c r="D375" s="512" t="n">
        <v>135.357442018124</v>
      </c>
      <c r="E375" s="518" t="n">
        <f aca="false">(D375-D374)/D374</f>
        <v>-0.00782961331922527</v>
      </c>
    </row>
    <row r="376" customFormat="false" ht="14.25" hidden="false" customHeight="true" outlineLevel="0" collapsed="false">
      <c r="A376" s="513" t="n">
        <v>43592</v>
      </c>
      <c r="B376" s="514" t="n">
        <v>2884.050049</v>
      </c>
      <c r="C376" s="515" t="n">
        <f aca="false">(B376-B375)/B375</f>
        <v>-0.016511651433378</v>
      </c>
      <c r="D376" s="516" t="n">
        <v>131.184859934014</v>
      </c>
      <c r="E376" s="515" t="n">
        <f aca="false">(D376-D375)/D375</f>
        <v>-0.0308263958146556</v>
      </c>
    </row>
    <row r="377" customFormat="false" ht="14.25" hidden="false" customHeight="true" outlineLevel="0" collapsed="false">
      <c r="A377" s="511" t="n">
        <v>43593</v>
      </c>
      <c r="B377" s="507" t="n">
        <v>2879.419922</v>
      </c>
      <c r="C377" s="518" t="n">
        <f aca="false">(B377-B376)/B376</f>
        <v>-0.00160542532942704</v>
      </c>
      <c r="D377" s="512" t="n">
        <v>130.815279978303</v>
      </c>
      <c r="E377" s="518" t="n">
        <f aca="false">(D377-D376)/D376</f>
        <v>-0.00281724549537883</v>
      </c>
    </row>
    <row r="378" customFormat="false" ht="14.25" hidden="false" customHeight="true" outlineLevel="0" collapsed="false">
      <c r="A378" s="513" t="n">
        <v>43594</v>
      </c>
      <c r="B378" s="514" t="n">
        <v>2870.719971</v>
      </c>
      <c r="C378" s="515" t="n">
        <f aca="false">(B378-B377)/B377</f>
        <v>-0.0030214248826747</v>
      </c>
      <c r="D378" s="516" t="n">
        <v>130.0838914587</v>
      </c>
      <c r="E378" s="515" t="n">
        <f aca="false">(D378-D377)/D377</f>
        <v>-0.00559100221108963</v>
      </c>
    </row>
    <row r="379" customFormat="false" ht="14.25" hidden="false" customHeight="true" outlineLevel="0" collapsed="false">
      <c r="A379" s="511" t="n">
        <v>43595</v>
      </c>
      <c r="B379" s="507" t="n">
        <v>2881.399902</v>
      </c>
      <c r="C379" s="518" t="n">
        <f aca="false">(B379-B378)/B378</f>
        <v>0.00372029703624482</v>
      </c>
      <c r="D379" s="512" t="n">
        <v>130.918879219928</v>
      </c>
      <c r="E379" s="518" t="n">
        <f aca="false">(D379-D378)/D378</f>
        <v>0.00641884057945081</v>
      </c>
    </row>
    <row r="380" customFormat="false" ht="14.25" hidden="false" customHeight="true" outlineLevel="0" collapsed="false">
      <c r="A380" s="513" t="n">
        <v>43598</v>
      </c>
      <c r="B380" s="514" t="n">
        <v>2811.870117</v>
      </c>
      <c r="C380" s="515" t="n">
        <f aca="false">(B380-B379)/B379</f>
        <v>-0.0241305571474959</v>
      </c>
      <c r="D380" s="516" t="n">
        <v>125.692906102386</v>
      </c>
      <c r="E380" s="515" t="n">
        <f aca="false">(D380-D379)/D379</f>
        <v>-0.0399176432664305</v>
      </c>
    </row>
    <row r="381" customFormat="false" ht="14.25" hidden="false" customHeight="true" outlineLevel="0" collapsed="false">
      <c r="A381" s="511" t="n">
        <v>43599</v>
      </c>
      <c r="B381" s="507" t="n">
        <v>2834.409912</v>
      </c>
      <c r="C381" s="518" t="n">
        <f aca="false">(B381-B380)/B380</f>
        <v>0.0080159445714541</v>
      </c>
      <c r="D381" s="512" t="n">
        <v>127.54765647329</v>
      </c>
      <c r="E381" s="518" t="n">
        <f aca="false">(D381-D380)/D380</f>
        <v>0.0147562056477012</v>
      </c>
    </row>
    <row r="382" customFormat="false" ht="14.25" hidden="false" customHeight="true" outlineLevel="0" collapsed="false">
      <c r="A382" s="513" t="n">
        <v>43600</v>
      </c>
      <c r="B382" s="514" t="n">
        <v>2850.959961</v>
      </c>
      <c r="C382" s="515" t="n">
        <f aca="false">(B382-B381)/B381</f>
        <v>0.00583897513550607</v>
      </c>
      <c r="D382" s="516" t="n">
        <v>128.764129524435</v>
      </c>
      <c r="E382" s="515" t="n">
        <f aca="false">(D382-D381)/D381</f>
        <v>0.00953740025321227</v>
      </c>
    </row>
    <row r="383" customFormat="false" ht="14.25" hidden="false" customHeight="true" outlineLevel="0" collapsed="false">
      <c r="A383" s="511" t="n">
        <v>43601</v>
      </c>
      <c r="B383" s="507" t="n">
        <v>2876.320068</v>
      </c>
      <c r="C383" s="518" t="n">
        <f aca="false">(B383-B382)/B382</f>
        <v>0.00889528697242899</v>
      </c>
      <c r="D383" s="512" t="n">
        <v>130.862548612893</v>
      </c>
      <c r="E383" s="518" t="n">
        <f aca="false">(D383-D382)/D382</f>
        <v>0.0162966122336096</v>
      </c>
    </row>
    <row r="384" customFormat="false" ht="14.25" hidden="false" customHeight="true" outlineLevel="0" collapsed="false">
      <c r="A384" s="513" t="n">
        <v>43602</v>
      </c>
      <c r="B384" s="514" t="n">
        <v>2859.530029</v>
      </c>
      <c r="C384" s="515" t="n">
        <f aca="false">(B384-B383)/B383</f>
        <v>-0.0058373333297621</v>
      </c>
      <c r="D384" s="516" t="n">
        <v>129.401396496039</v>
      </c>
      <c r="E384" s="515" t="n">
        <f aca="false">(D384-D383)/D383</f>
        <v>-0.0111655483737845</v>
      </c>
    </row>
    <row r="385" customFormat="false" ht="14.25" hidden="false" customHeight="true" outlineLevel="0" collapsed="false">
      <c r="A385" s="511" t="n">
        <v>43605</v>
      </c>
      <c r="B385" s="507" t="n">
        <v>2840.22998</v>
      </c>
      <c r="C385" s="518" t="n">
        <f aca="false">(B385-B384)/B384</f>
        <v>-0.00674937797619468</v>
      </c>
      <c r="D385" s="512" t="n">
        <v>127.987158513503</v>
      </c>
      <c r="E385" s="518" t="n">
        <f aca="false">(D385-D384)/D384</f>
        <v>-0.0109290782080493</v>
      </c>
    </row>
    <row r="386" customFormat="false" ht="14.25" hidden="false" customHeight="true" outlineLevel="0" collapsed="false">
      <c r="A386" s="513" t="n">
        <v>43606</v>
      </c>
      <c r="B386" s="514" t="n">
        <v>2864.360107</v>
      </c>
      <c r="C386" s="515" t="n">
        <f aca="false">(B386-B385)/B385</f>
        <v>0.00849583560835447</v>
      </c>
      <c r="D386" s="516" t="n">
        <v>129.906363746299</v>
      </c>
      <c r="E386" s="515" t="n">
        <f aca="false">(D386-D385)/D385</f>
        <v>0.0149952952709199</v>
      </c>
    </row>
    <row r="387" customFormat="false" ht="14.25" hidden="false" customHeight="true" outlineLevel="0" collapsed="false">
      <c r="A387" s="511" t="n">
        <v>43607</v>
      </c>
      <c r="B387" s="507" t="n">
        <v>2856.27002</v>
      </c>
      <c r="C387" s="518" t="n">
        <f aca="false">(B387-B386)/B386</f>
        <v>-0.00282439592013213</v>
      </c>
      <c r="D387" s="512" t="n">
        <v>129.21948261921</v>
      </c>
      <c r="E387" s="518" t="n">
        <f aca="false">(D387-D386)/D386</f>
        <v>-0.00528750945897043</v>
      </c>
    </row>
    <row r="388" customFormat="false" ht="14.25" hidden="false" customHeight="true" outlineLevel="0" collapsed="false">
      <c r="A388" s="513" t="n">
        <v>43608</v>
      </c>
      <c r="B388" s="514" t="n">
        <v>2822.23999</v>
      </c>
      <c r="C388" s="515" t="n">
        <f aca="false">(B388-B387)/B387</f>
        <v>-0.0119141501894838</v>
      </c>
      <c r="D388" s="516" t="n">
        <v>126.551210206362</v>
      </c>
      <c r="E388" s="515" t="n">
        <f aca="false">(D388-D387)/D387</f>
        <v>-0.0206491494839906</v>
      </c>
    </row>
    <row r="389" customFormat="false" ht="14.25" hidden="false" customHeight="true" outlineLevel="0" collapsed="false">
      <c r="A389" s="511" t="n">
        <v>43609</v>
      </c>
      <c r="B389" s="507" t="n">
        <v>2826.060059</v>
      </c>
      <c r="C389" s="518" t="n">
        <f aca="false">(B389-B388)/B388</f>
        <v>0.00135355923434416</v>
      </c>
      <c r="D389" s="512" t="n">
        <v>126.855285758307</v>
      </c>
      <c r="E389" s="518" t="n">
        <f aca="false">(D389-D388)/D388</f>
        <v>0.00240278659879396</v>
      </c>
    </row>
    <row r="390" customFormat="false" ht="14.25" hidden="false" customHeight="true" outlineLevel="0" collapsed="false">
      <c r="A390" s="513" t="n">
        <v>43613</v>
      </c>
      <c r="B390" s="514" t="n">
        <v>2802.389893</v>
      </c>
      <c r="C390" s="515" t="n">
        <f aca="false">(B390-B389)/B389</f>
        <v>-0.00837567691621372</v>
      </c>
      <c r="D390" s="516" t="n">
        <v>125.023728013002</v>
      </c>
      <c r="E390" s="515" t="n">
        <f aca="false">(D390-D389)/D389</f>
        <v>-0.0144381665640217</v>
      </c>
    </row>
    <row r="391" customFormat="false" ht="14.25" hidden="false" customHeight="true" outlineLevel="0" collapsed="false">
      <c r="A391" s="511" t="n">
        <v>43614</v>
      </c>
      <c r="B391" s="507" t="n">
        <v>2783.02002</v>
      </c>
      <c r="C391" s="518" t="n">
        <f aca="false">(B391-B390)/B390</f>
        <v>-0.00691191223904407</v>
      </c>
      <c r="D391" s="512" t="n">
        <v>123.420870201486</v>
      </c>
      <c r="E391" s="518" t="n">
        <f aca="false">(D391-D390)/D390</f>
        <v>-0.0128204288657055</v>
      </c>
    </row>
    <row r="392" customFormat="false" ht="14.25" hidden="false" customHeight="true" outlineLevel="0" collapsed="false">
      <c r="A392" s="513" t="n">
        <v>43615</v>
      </c>
      <c r="B392" s="514" t="n">
        <v>2788.860107</v>
      </c>
      <c r="C392" s="515" t="n">
        <f aca="false">(B392-B391)/B391</f>
        <v>0.00209847107028718</v>
      </c>
      <c r="D392" s="516" t="n">
        <v>123.913357449386</v>
      </c>
      <c r="E392" s="515" t="n">
        <f aca="false">(D392-D391)/D391</f>
        <v>0.00399030769347202</v>
      </c>
    </row>
    <row r="393" customFormat="false" ht="14.25" hidden="false" customHeight="true" outlineLevel="0" collapsed="false">
      <c r="A393" s="511" t="n">
        <v>43616</v>
      </c>
      <c r="B393" s="507" t="n">
        <v>2752.060059</v>
      </c>
      <c r="C393" s="518" t="n">
        <f aca="false">(B393-B392)/B392</f>
        <v>-0.0131953725135343</v>
      </c>
      <c r="D393" s="512" t="n">
        <v>120.838506831297</v>
      </c>
      <c r="E393" s="518" t="n">
        <f aca="false">(D393-D392)/D392</f>
        <v>-0.0248145210603705</v>
      </c>
    </row>
    <row r="394" customFormat="false" ht="14.25" hidden="false" customHeight="true" outlineLevel="0" collapsed="false">
      <c r="A394" s="513" t="n">
        <v>43619</v>
      </c>
      <c r="B394" s="514" t="n">
        <v>2744.449951</v>
      </c>
      <c r="C394" s="515" t="n">
        <f aca="false">(B394-B393)/B393</f>
        <v>-0.00276524052413489</v>
      </c>
      <c r="D394" s="516" t="n">
        <v>120.244232573114</v>
      </c>
      <c r="E394" s="515" t="n">
        <f aca="false">(D394-D393)/D393</f>
        <v>-0.00491792123029673</v>
      </c>
    </row>
    <row r="395" customFormat="false" ht="14.25" hidden="false" customHeight="true" outlineLevel="0" collapsed="false">
      <c r="A395" s="511" t="n">
        <v>43620</v>
      </c>
      <c r="B395" s="507" t="n">
        <v>2803.27002</v>
      </c>
      <c r="C395" s="518" t="n">
        <f aca="false">(B395-B394)/B394</f>
        <v>0.0214323708029609</v>
      </c>
      <c r="D395" s="512" t="n">
        <v>124.631317719733</v>
      </c>
      <c r="E395" s="518" t="n">
        <f aca="false">(D395-D394)/D394</f>
        <v>0.0364847864445511</v>
      </c>
    </row>
    <row r="396" customFormat="false" ht="14.25" hidden="false" customHeight="true" outlineLevel="0" collapsed="false">
      <c r="A396" s="513" t="n">
        <v>43621</v>
      </c>
      <c r="B396" s="514" t="n">
        <v>2826.149902</v>
      </c>
      <c r="C396" s="515" t="n">
        <f aca="false">(B396-B395)/B395</f>
        <v>0.00816185449020718</v>
      </c>
      <c r="D396" s="516" t="n">
        <v>126.446567739669</v>
      </c>
      <c r="E396" s="515" t="n">
        <f aca="false">(D396-D395)/D395</f>
        <v>0.0145649588975548</v>
      </c>
    </row>
    <row r="397" customFormat="false" ht="14.25" hidden="false" customHeight="true" outlineLevel="0" collapsed="false">
      <c r="A397" s="511" t="n">
        <v>43622</v>
      </c>
      <c r="B397" s="507" t="n">
        <v>2843.48999</v>
      </c>
      <c r="C397" s="518" t="n">
        <f aca="false">(B397-B396)/B396</f>
        <v>0.00613558678813489</v>
      </c>
      <c r="D397" s="512" t="n">
        <v>127.821058302286</v>
      </c>
      <c r="E397" s="518" t="n">
        <f aca="false">(D397-D396)/D396</f>
        <v>0.0108701294719745</v>
      </c>
    </row>
    <row r="398" customFormat="false" ht="14.25" hidden="false" customHeight="true" outlineLevel="0" collapsed="false">
      <c r="A398" s="513" t="n">
        <v>43623</v>
      </c>
      <c r="B398" s="514" t="n">
        <v>2873.340088</v>
      </c>
      <c r="C398" s="515" t="n">
        <f aca="false">(B398-B397)/B397</f>
        <v>0.0104976975846502</v>
      </c>
      <c r="D398" s="516" t="n">
        <v>130.133029155847</v>
      </c>
      <c r="E398" s="515" t="n">
        <f aca="false">(D398-D397)/D397</f>
        <v>0.0180875583747193</v>
      </c>
    </row>
    <row r="399" customFormat="false" ht="14.25" hidden="false" customHeight="true" outlineLevel="0" collapsed="false">
      <c r="A399" s="511" t="n">
        <v>43626</v>
      </c>
      <c r="B399" s="507" t="n">
        <v>2886.72998</v>
      </c>
      <c r="C399" s="518" t="n">
        <f aca="false">(B399-B398)/B398</f>
        <v>0.0046600442655294</v>
      </c>
      <c r="D399" s="512" t="n">
        <v>131.222842974489</v>
      </c>
      <c r="E399" s="518" t="n">
        <f aca="false">(D399-D398)/D398</f>
        <v>0.00837461346832126</v>
      </c>
    </row>
    <row r="400" customFormat="false" ht="14.25" hidden="false" customHeight="true" outlineLevel="0" collapsed="false">
      <c r="A400" s="513" t="n">
        <v>43627</v>
      </c>
      <c r="B400" s="514" t="n">
        <v>2885.719971</v>
      </c>
      <c r="C400" s="515" t="n">
        <f aca="false">(B400-B399)/B399</f>
        <v>-0.00034987997041555</v>
      </c>
      <c r="D400" s="516" t="n">
        <v>131.143262876781</v>
      </c>
      <c r="E400" s="515" t="n">
        <f aca="false">(D400-D399)/D399</f>
        <v>-0.000606450034949133</v>
      </c>
    </row>
    <row r="401" customFormat="false" ht="14.25" hidden="false" customHeight="true" outlineLevel="0" collapsed="false">
      <c r="A401" s="511" t="n">
        <v>43628</v>
      </c>
      <c r="B401" s="507" t="n">
        <v>2879.840088</v>
      </c>
      <c r="C401" s="518" t="n">
        <f aca="false">(B401-B400)/B400</f>
        <v>-0.00203757920348816</v>
      </c>
      <c r="D401" s="512" t="n">
        <v>130.692494114086</v>
      </c>
      <c r="E401" s="518" t="n">
        <f aca="false">(D401-D400)/D400</f>
        <v>-0.00343722393973469</v>
      </c>
    </row>
    <row r="402" customFormat="false" ht="14.25" hidden="false" customHeight="true" outlineLevel="0" collapsed="false">
      <c r="A402" s="513" t="n">
        <v>43629</v>
      </c>
      <c r="B402" s="514" t="n">
        <v>2891.639893</v>
      </c>
      <c r="C402" s="515" t="n">
        <f aca="false">(B402-B401)/B401</f>
        <v>0.00409738202102564</v>
      </c>
      <c r="D402" s="516" t="n">
        <v>131.689891991995</v>
      </c>
      <c r="E402" s="515" t="n">
        <f aca="false">(D402-D401)/D401</f>
        <v>0.00763163856248964</v>
      </c>
    </row>
    <row r="403" customFormat="false" ht="14.25" hidden="false" customHeight="true" outlineLevel="0" collapsed="false">
      <c r="A403" s="511" t="n">
        <v>43630</v>
      </c>
      <c r="B403" s="507" t="n">
        <v>2886.97998</v>
      </c>
      <c r="C403" s="518" t="n">
        <f aca="false">(B403-B402)/B402</f>
        <v>-0.00161151221190458</v>
      </c>
      <c r="D403" s="512" t="n">
        <v>131.325008261658</v>
      </c>
      <c r="E403" s="518" t="n">
        <f aca="false">(D403-D402)/D402</f>
        <v>-0.00277078008659297</v>
      </c>
    </row>
    <row r="404" customFormat="false" ht="14.25" hidden="false" customHeight="true" outlineLevel="0" collapsed="false">
      <c r="A404" s="513" t="n">
        <v>43633</v>
      </c>
      <c r="B404" s="514" t="n">
        <v>2889.669922</v>
      </c>
      <c r="C404" s="515" t="n">
        <f aca="false">(B404-B403)/B403</f>
        <v>0.000931749447046728</v>
      </c>
      <c r="D404" s="516" t="n">
        <v>131.552397315401</v>
      </c>
      <c r="E404" s="515" t="n">
        <f aca="false">(D404-D403)/D403</f>
        <v>0.00173149849181761</v>
      </c>
    </row>
    <row r="405" customFormat="false" ht="14.25" hidden="false" customHeight="true" outlineLevel="0" collapsed="false">
      <c r="A405" s="511" t="n">
        <v>43634</v>
      </c>
      <c r="B405" s="507" t="n">
        <v>2917.75</v>
      </c>
      <c r="C405" s="518" t="n">
        <f aca="false">(B405-B404)/B404</f>
        <v>0.00971739982695503</v>
      </c>
      <c r="D405" s="512" t="n">
        <v>133.930703948839</v>
      </c>
      <c r="E405" s="518" t="n">
        <f aca="false">(D405-D404)/D404</f>
        <v>0.0180787783573106</v>
      </c>
    </row>
    <row r="406" customFormat="false" ht="14.25" hidden="false" customHeight="true" outlineLevel="0" collapsed="false">
      <c r="A406" s="513" t="n">
        <v>43635</v>
      </c>
      <c r="B406" s="514" t="n">
        <v>2926.459961</v>
      </c>
      <c r="C406" s="515" t="n">
        <f aca="false">(B406-B405)/B405</f>
        <v>0.00298516356781768</v>
      </c>
      <c r="D406" s="516" t="n">
        <v>134.68543474015</v>
      </c>
      <c r="E406" s="515" t="n">
        <f aca="false">(D406-D405)/D405</f>
        <v>0.00563523351299102</v>
      </c>
    </row>
    <row r="407" customFormat="false" ht="14.25" hidden="false" customHeight="true" outlineLevel="0" collapsed="false">
      <c r="A407" s="511" t="n">
        <v>43636</v>
      </c>
      <c r="B407" s="507" t="n">
        <v>2954.179932</v>
      </c>
      <c r="C407" s="518" t="n">
        <f aca="false">(B407-B406)/B406</f>
        <v>0.00947218529192786</v>
      </c>
      <c r="D407" s="512" t="n">
        <v>137.106462346576</v>
      </c>
      <c r="E407" s="518" t="n">
        <f aca="false">(D407-D406)/D406</f>
        <v>0.0179754225918855</v>
      </c>
    </row>
    <row r="408" customFormat="false" ht="14.25" hidden="false" customHeight="true" outlineLevel="0" collapsed="false">
      <c r="A408" s="513" t="n">
        <v>43637</v>
      </c>
      <c r="B408" s="514" t="n">
        <v>2950.459961</v>
      </c>
      <c r="C408" s="515" t="n">
        <f aca="false">(B408-B407)/B407</f>
        <v>-0.00125922289285932</v>
      </c>
      <c r="D408" s="516" t="n">
        <v>136.817615816177</v>
      </c>
      <c r="E408" s="515" t="n">
        <f aca="false">(D408-D407)/D407</f>
        <v>-0.0021067316992604</v>
      </c>
    </row>
    <row r="409" customFormat="false" ht="14.25" hidden="false" customHeight="true" outlineLevel="0" collapsed="false">
      <c r="A409" s="511" t="n">
        <v>43640</v>
      </c>
      <c r="B409" s="507" t="n">
        <v>2945.350098</v>
      </c>
      <c r="C409" s="518" t="n">
        <f aca="false">(B409-B408)/B408</f>
        <v>-0.00173188691510602</v>
      </c>
      <c r="D409" s="512" t="n">
        <v>136.431904453572</v>
      </c>
      <c r="E409" s="518" t="n">
        <f aca="false">(D409-D408)/D408</f>
        <v>-0.00281916447896034</v>
      </c>
    </row>
    <row r="410" customFormat="false" ht="14.25" hidden="false" customHeight="true" outlineLevel="0" collapsed="false">
      <c r="A410" s="513" t="n">
        <v>43641</v>
      </c>
      <c r="B410" s="514" t="n">
        <v>2917.379883</v>
      </c>
      <c r="C410" s="515" t="n">
        <f aca="false">(B410-B409)/B409</f>
        <v>-0.00949639739567552</v>
      </c>
      <c r="D410" s="516" t="n">
        <v>134.226343202148</v>
      </c>
      <c r="E410" s="515" t="n">
        <f aca="false">(D410-D409)/D409</f>
        <v>-0.0161660226048853</v>
      </c>
    </row>
    <row r="411" customFormat="false" ht="14.25" hidden="false" customHeight="true" outlineLevel="0" collapsed="false">
      <c r="A411" s="511" t="n">
        <v>43642</v>
      </c>
      <c r="B411" s="507" t="n">
        <v>2913.780029</v>
      </c>
      <c r="C411" s="518" t="n">
        <f aca="false">(B411-B410)/B410</f>
        <v>-0.00123393392165927</v>
      </c>
      <c r="D411" s="512" t="n">
        <v>133.952428679954</v>
      </c>
      <c r="E411" s="518" t="n">
        <f aca="false">(D411-D410)/D410</f>
        <v>-0.00204069123585874</v>
      </c>
    </row>
    <row r="412" customFormat="false" ht="14.25" hidden="false" customHeight="true" outlineLevel="0" collapsed="false">
      <c r="A412" s="513" t="n">
        <v>43643</v>
      </c>
      <c r="B412" s="514" t="n">
        <v>2924.919922</v>
      </c>
      <c r="C412" s="515" t="n">
        <f aca="false">(B412-B411)/B411</f>
        <v>0.00382317569930741</v>
      </c>
      <c r="D412" s="516" t="n">
        <v>134.923092156437</v>
      </c>
      <c r="E412" s="515" t="n">
        <f aca="false">(D412-D411)/D411</f>
        <v>0.0072463298056518</v>
      </c>
    </row>
    <row r="413" customFormat="false" ht="14.25" hidden="false" customHeight="true" outlineLevel="0" collapsed="false">
      <c r="A413" s="511" t="n">
        <v>43644</v>
      </c>
      <c r="B413" s="507" t="n">
        <v>2941.76001</v>
      </c>
      <c r="C413" s="518" t="n">
        <f aca="false">(B413-B412)/B412</f>
        <v>0.00575745266505793</v>
      </c>
      <c r="D413" s="512" t="n">
        <v>136.224829885988</v>
      </c>
      <c r="E413" s="518" t="n">
        <f aca="false">(D413-D412)/D412</f>
        <v>0.0096479980464847</v>
      </c>
    </row>
    <row r="414" customFormat="false" ht="14.25" hidden="false" customHeight="true" outlineLevel="0" collapsed="false">
      <c r="A414" s="513" t="n">
        <v>43647</v>
      </c>
      <c r="B414" s="514" t="n">
        <v>2964.330078</v>
      </c>
      <c r="C414" s="515" t="n">
        <f aca="false">(B414-B413)/B413</f>
        <v>0.00767230090941375</v>
      </c>
      <c r="D414" s="516" t="n">
        <v>137.956641020758</v>
      </c>
      <c r="E414" s="515" t="n">
        <f aca="false">(D414-D413)/D413</f>
        <v>0.0127128889514448</v>
      </c>
    </row>
    <row r="415" customFormat="false" ht="14.25" hidden="false" customHeight="true" outlineLevel="0" collapsed="false">
      <c r="A415" s="511" t="n">
        <v>43648</v>
      </c>
      <c r="B415" s="507" t="n">
        <v>2973.01001</v>
      </c>
      <c r="C415" s="518" t="n">
        <f aca="false">(B415-B414)/B414</f>
        <v>0.00292812600877978</v>
      </c>
      <c r="D415" s="512" t="n">
        <v>138.611962215442</v>
      </c>
      <c r="E415" s="518" t="n">
        <f aca="false">(D415-D414)/D414</f>
        <v>0.00475019679977112</v>
      </c>
    </row>
    <row r="416" customFormat="false" ht="14.25" hidden="false" customHeight="true" outlineLevel="0" collapsed="false">
      <c r="A416" s="513" t="n">
        <v>43649</v>
      </c>
      <c r="B416" s="514" t="n">
        <v>2995.820068</v>
      </c>
      <c r="C416" s="515" t="n">
        <f aca="false">(B416-B415)/B415</f>
        <v>0.00767237847275194</v>
      </c>
      <c r="D416" s="516" t="n">
        <v>140.51893897567</v>
      </c>
      <c r="E416" s="515" t="n">
        <f aca="false">(D416-D415)/D415</f>
        <v>0.0137576636947397</v>
      </c>
    </row>
    <row r="417" customFormat="false" ht="14.25" hidden="false" customHeight="true" outlineLevel="0" collapsed="false">
      <c r="A417" s="511" t="n">
        <v>43651</v>
      </c>
      <c r="B417" s="507" t="n">
        <v>2990.409912</v>
      </c>
      <c r="C417" s="518" t="n">
        <f aca="false">(B417-B416)/B416</f>
        <v>-0.00180590151517735</v>
      </c>
      <c r="D417" s="512" t="n">
        <v>140.032193659973</v>
      </c>
      <c r="E417" s="518" t="n">
        <f aca="false">(D417-D416)/D416</f>
        <v>-0.00346391254620346</v>
      </c>
    </row>
    <row r="418" customFormat="false" ht="14.25" hidden="false" customHeight="true" outlineLevel="0" collapsed="false">
      <c r="A418" s="513" t="n">
        <v>43654</v>
      </c>
      <c r="B418" s="514" t="n">
        <v>2975.949951</v>
      </c>
      <c r="C418" s="515" t="n">
        <f aca="false">(B418-B417)/B417</f>
        <v>-0.0048354444459185</v>
      </c>
      <c r="D418" s="516" t="n">
        <v>138.74084584104</v>
      </c>
      <c r="E418" s="515" t="n">
        <f aca="false">(D418-D417)/D417</f>
        <v>-0.00922179239774426</v>
      </c>
    </row>
    <row r="419" customFormat="false" ht="14.25" hidden="false" customHeight="true" outlineLevel="0" collapsed="false">
      <c r="A419" s="511" t="n">
        <v>43655</v>
      </c>
      <c r="B419" s="507" t="n">
        <v>2979.629883</v>
      </c>
      <c r="C419" s="518" t="n">
        <f aca="false">(B419-B418)/B418</f>
        <v>0.00123655708617124</v>
      </c>
      <c r="D419" s="512" t="n">
        <v>139.02638545705</v>
      </c>
      <c r="E419" s="518" t="n">
        <f aca="false">(D419-D418)/D418</f>
        <v>0.00205807896210429</v>
      </c>
    </row>
    <row r="420" customFormat="false" ht="14.25" hidden="false" customHeight="true" outlineLevel="0" collapsed="false">
      <c r="A420" s="513" t="n">
        <v>43656</v>
      </c>
      <c r="B420" s="514" t="n">
        <v>2993.070068</v>
      </c>
      <c r="C420" s="515" t="n">
        <f aca="false">(B420-B419)/B419</f>
        <v>0.00451068942377094</v>
      </c>
      <c r="D420" s="516" t="n">
        <v>140.110646531825</v>
      </c>
      <c r="E420" s="515" t="n">
        <f aca="false">(D420-D419)/D419</f>
        <v>0.00779895896171436</v>
      </c>
    </row>
    <row r="421" customFormat="false" ht="14.25" hidden="false" customHeight="true" outlineLevel="0" collapsed="false">
      <c r="A421" s="511" t="n">
        <v>43657</v>
      </c>
      <c r="B421" s="507" t="n">
        <v>2999.909912</v>
      </c>
      <c r="C421" s="518" t="n">
        <f aca="false">(B421-B420)/B420</f>
        <v>0.00228522682216075</v>
      </c>
      <c r="D421" s="512" t="n">
        <v>140.680260678159</v>
      </c>
      <c r="E421" s="518" t="n">
        <f aca="false">(D421-D420)/D420</f>
        <v>0.00406545940964302</v>
      </c>
    </row>
    <row r="422" customFormat="false" ht="14.25" hidden="false" customHeight="true" outlineLevel="0" collapsed="false">
      <c r="A422" s="513" t="n">
        <v>43658</v>
      </c>
      <c r="B422" s="514" t="n">
        <v>3013.77002</v>
      </c>
      <c r="C422" s="515" t="n">
        <f aca="false">(B422-B421)/B421</f>
        <v>0.0046201747407673</v>
      </c>
      <c r="D422" s="516" t="n">
        <v>141.925175880241</v>
      </c>
      <c r="E422" s="515" t="n">
        <f aca="false">(D422-D421)/D421</f>
        <v>0.00884925288082928</v>
      </c>
    </row>
    <row r="423" customFormat="false" ht="14.25" hidden="false" customHeight="true" outlineLevel="0" collapsed="false">
      <c r="A423" s="511" t="n">
        <v>43661</v>
      </c>
      <c r="B423" s="507" t="n">
        <v>3014.300049</v>
      </c>
      <c r="C423" s="518" t="n">
        <f aca="false">(B423-B422)/B422</f>
        <v>0.000175869093023897</v>
      </c>
      <c r="D423" s="512" t="n">
        <v>141.965525299158</v>
      </c>
      <c r="E423" s="518" t="n">
        <f aca="false">(D423-D422)/D422</f>
        <v>0.000284300644101726</v>
      </c>
    </row>
    <row r="424" customFormat="false" ht="14.25" hidden="false" customHeight="true" outlineLevel="0" collapsed="false">
      <c r="A424" s="513" t="n">
        <v>43662</v>
      </c>
      <c r="B424" s="514" t="n">
        <v>3004.040039</v>
      </c>
      <c r="C424" s="515" t="n">
        <f aca="false">(B424-B423)/B423</f>
        <v>-0.00340377859974615</v>
      </c>
      <c r="D424" s="516" t="n">
        <v>141.131780882347</v>
      </c>
      <c r="E424" s="515" t="n">
        <f aca="false">(D424-D423)/D423</f>
        <v>-0.00587286536681424</v>
      </c>
    </row>
    <row r="425" customFormat="false" ht="14.25" hidden="false" customHeight="true" outlineLevel="0" collapsed="false">
      <c r="A425" s="511" t="n">
        <v>43663</v>
      </c>
      <c r="B425" s="507" t="n">
        <v>2984.419922</v>
      </c>
      <c r="C425" s="518" t="n">
        <f aca="false">(B425-B424)/B424</f>
        <v>-0.00653124350717082</v>
      </c>
      <c r="D425" s="512" t="n">
        <v>139.574392787262</v>
      </c>
      <c r="E425" s="518" t="n">
        <f aca="false">(D425-D424)/D424</f>
        <v>-0.0110349921566091</v>
      </c>
    </row>
    <row r="426" customFormat="false" ht="14.25" hidden="false" customHeight="true" outlineLevel="0" collapsed="false">
      <c r="A426" s="513" t="n">
        <v>43664</v>
      </c>
      <c r="B426" s="514" t="n">
        <v>2995.110107</v>
      </c>
      <c r="C426" s="515" t="n">
        <f aca="false">(B426-B425)/B425</f>
        <v>0.0035819976006714</v>
      </c>
      <c r="D426" s="516" t="n">
        <v>140.404273393622</v>
      </c>
      <c r="E426" s="515" t="n">
        <f aca="false">(D426-D425)/D425</f>
        <v>0.00594579413735924</v>
      </c>
    </row>
    <row r="427" customFormat="false" ht="14.25" hidden="false" customHeight="true" outlineLevel="0" collapsed="false">
      <c r="A427" s="511" t="n">
        <v>43665</v>
      </c>
      <c r="B427" s="507" t="n">
        <v>2976.610107</v>
      </c>
      <c r="C427" s="518" t="n">
        <f aca="false">(B427-B426)/B426</f>
        <v>-0.00617673452363666</v>
      </c>
      <c r="D427" s="512" t="n">
        <v>138.749617060383</v>
      </c>
      <c r="E427" s="518" t="n">
        <f aca="false">(D427-D426)/D426</f>
        <v>-0.011784942817233</v>
      </c>
    </row>
    <row r="428" customFormat="false" ht="14.25" hidden="false" customHeight="true" outlineLevel="0" collapsed="false">
      <c r="A428" s="513" t="n">
        <v>43668</v>
      </c>
      <c r="B428" s="514" t="n">
        <v>2985.030029</v>
      </c>
      <c r="C428" s="515" t="n">
        <f aca="false">(B428-B427)/B427</f>
        <v>0.00282869495746157</v>
      </c>
      <c r="D428" s="516" t="n">
        <v>139.462810872329</v>
      </c>
      <c r="E428" s="515" t="n">
        <f aca="false">(D428-D427)/D427</f>
        <v>0.00514014976802139</v>
      </c>
    </row>
    <row r="429" customFormat="false" ht="14.25" hidden="false" customHeight="true" outlineLevel="0" collapsed="false">
      <c r="A429" s="511" t="n">
        <v>43669</v>
      </c>
      <c r="B429" s="507" t="n">
        <v>3005.469971</v>
      </c>
      <c r="C429" s="518" t="n">
        <f aca="false">(B429-B428)/B428</f>
        <v>0.00684748287334565</v>
      </c>
      <c r="D429" s="512" t="n">
        <v>141.281818318684</v>
      </c>
      <c r="E429" s="518" t="n">
        <f aca="false">(D429-D428)/D428</f>
        <v>0.0130429570075152</v>
      </c>
    </row>
    <row r="430" customFormat="false" ht="14.25" hidden="false" customHeight="true" outlineLevel="0" collapsed="false">
      <c r="A430" s="513" t="n">
        <v>43670</v>
      </c>
      <c r="B430" s="514" t="n">
        <v>3019.560059</v>
      </c>
      <c r="C430" s="515" t="n">
        <f aca="false">(B430-B429)/B429</f>
        <v>0.00468814798881913</v>
      </c>
      <c r="D430" s="516" t="n">
        <v>142.420421871163</v>
      </c>
      <c r="E430" s="515" t="n">
        <f aca="false">(D430-D429)/D429</f>
        <v>0.00805909469476598</v>
      </c>
    </row>
    <row r="431" customFormat="false" ht="14.25" hidden="false" customHeight="true" outlineLevel="0" collapsed="false">
      <c r="A431" s="511" t="n">
        <v>43671</v>
      </c>
      <c r="B431" s="507" t="n">
        <v>3003.669922</v>
      </c>
      <c r="C431" s="518" t="n">
        <f aca="false">(B431-B430)/B430</f>
        <v>-0.00526240137288817</v>
      </c>
      <c r="D431" s="512" t="n">
        <v>141.114168096761</v>
      </c>
      <c r="E431" s="518" t="n">
        <f aca="false">(D431-D430)/D430</f>
        <v>-0.00917181508971841</v>
      </c>
    </row>
    <row r="432" customFormat="false" ht="14.25" hidden="false" customHeight="true" outlineLevel="0" collapsed="false">
      <c r="A432" s="513" t="n">
        <v>43672</v>
      </c>
      <c r="B432" s="514" t="n">
        <v>3025.860107</v>
      </c>
      <c r="C432" s="515" t="n">
        <f aca="false">(B432-B431)/B431</f>
        <v>0.00738769091685832</v>
      </c>
      <c r="D432" s="516" t="n">
        <v>142.946025725313</v>
      </c>
      <c r="E432" s="515" t="n">
        <f aca="false">(D432-D431)/D431</f>
        <v>0.0129813870092471</v>
      </c>
    </row>
    <row r="433" customFormat="false" ht="14.25" hidden="false" customHeight="true" outlineLevel="0" collapsed="false">
      <c r="A433" s="511" t="n">
        <v>43675</v>
      </c>
      <c r="B433" s="507" t="n">
        <v>3020.969971</v>
      </c>
      <c r="C433" s="518" t="n">
        <f aca="false">(B433-B432)/B432</f>
        <v>-0.00161611436982403</v>
      </c>
      <c r="D433" s="512" t="n">
        <v>142.5745390209</v>
      </c>
      <c r="E433" s="518" t="n">
        <f aca="false">(D433-D432)/D432</f>
        <v>-0.00259879001551855</v>
      </c>
    </row>
    <row r="434" customFormat="false" ht="14.25" hidden="false" customHeight="true" outlineLevel="0" collapsed="false">
      <c r="A434" s="513" t="n">
        <v>43676</v>
      </c>
      <c r="B434" s="514" t="n">
        <v>3013.179932</v>
      </c>
      <c r="C434" s="515" t="n">
        <f aca="false">(B434-B433)/B433</f>
        <v>-0.0025786548938854</v>
      </c>
      <c r="D434" s="516" t="n">
        <v>141.87691891466</v>
      </c>
      <c r="E434" s="515" t="n">
        <f aca="false">(D434-D433)/D433</f>
        <v>-0.00489302024772982</v>
      </c>
    </row>
    <row r="435" customFormat="false" ht="14.25" hidden="false" customHeight="true" outlineLevel="0" collapsed="false">
      <c r="A435" s="511" t="n">
        <v>43677</v>
      </c>
      <c r="B435" s="507" t="n">
        <v>2980.379883</v>
      </c>
      <c r="C435" s="518" t="n">
        <f aca="false">(B435-B434)/B434</f>
        <v>-0.0108855261684386</v>
      </c>
      <c r="D435" s="512" t="n">
        <v>138.986144354521</v>
      </c>
      <c r="E435" s="518" t="n">
        <f aca="false">(D435-D434)/D434</f>
        <v>-0.0203752279246902</v>
      </c>
    </row>
    <row r="436" customFormat="false" ht="14.25" hidden="false" customHeight="true" outlineLevel="0" collapsed="false">
      <c r="A436" s="513" t="n">
        <v>43678</v>
      </c>
      <c r="B436" s="514" t="n">
        <v>2953.560059</v>
      </c>
      <c r="C436" s="515" t="n">
        <f aca="false">(B436-B435)/B435</f>
        <v>-0.00899879379571029</v>
      </c>
      <c r="D436" s="516" t="n">
        <v>136.813541074549</v>
      </c>
      <c r="E436" s="515" t="n">
        <f aca="false">(D436-D435)/D435</f>
        <v>-0.0156317976159567</v>
      </c>
    </row>
    <row r="437" customFormat="false" ht="14.25" hidden="false" customHeight="true" outlineLevel="0" collapsed="false">
      <c r="A437" s="511" t="n">
        <v>43679</v>
      </c>
      <c r="B437" s="507" t="n">
        <v>2932.050049</v>
      </c>
      <c r="C437" s="518" t="n">
        <f aca="false">(B437-B436)/B436</f>
        <v>-0.00728274000538953</v>
      </c>
      <c r="D437" s="512" t="n">
        <v>135.178673239337</v>
      </c>
      <c r="E437" s="518" t="n">
        <f aca="false">(D437-D436)/D436</f>
        <v>-0.0119496054438147</v>
      </c>
    </row>
    <row r="438" customFormat="false" ht="14.25" hidden="false" customHeight="true" outlineLevel="0" collapsed="false">
      <c r="A438" s="513" t="n">
        <v>43682</v>
      </c>
      <c r="B438" s="514" t="n">
        <v>2844.73999</v>
      </c>
      <c r="C438" s="515" t="n">
        <f aca="false">(B438-B437)/B437</f>
        <v>-0.0297778201397953</v>
      </c>
      <c r="D438" s="516" t="n">
        <v>128.317511441323</v>
      </c>
      <c r="E438" s="515" t="n">
        <f aca="false">(D438-D437)/D437</f>
        <v>-0.0507562445583864</v>
      </c>
    </row>
    <row r="439" customFormat="false" ht="14.25" hidden="false" customHeight="true" outlineLevel="0" collapsed="false">
      <c r="A439" s="511" t="n">
        <v>43683</v>
      </c>
      <c r="B439" s="507" t="n">
        <v>2881.77002</v>
      </c>
      <c r="C439" s="518" t="n">
        <f aca="false">(B439-B438)/B438</f>
        <v>0.0130170174181718</v>
      </c>
      <c r="D439" s="512" t="n">
        <v>131.232572437653</v>
      </c>
      <c r="E439" s="518" t="n">
        <f aca="false">(D439-D438)/D438</f>
        <v>0.0227175618010874</v>
      </c>
    </row>
    <row r="440" customFormat="false" ht="14.25" hidden="false" customHeight="true" outlineLevel="0" collapsed="false">
      <c r="A440" s="513" t="n">
        <v>43684</v>
      </c>
      <c r="B440" s="514" t="n">
        <v>2883.97998</v>
      </c>
      <c r="C440" s="515" t="n">
        <f aca="false">(B440-B439)/B439</f>
        <v>0.000766875907745108</v>
      </c>
      <c r="D440" s="516" t="n">
        <v>131.395992092749</v>
      </c>
      <c r="E440" s="515" t="n">
        <f aca="false">(D440-D439)/D439</f>
        <v>0.00124526748245853</v>
      </c>
    </row>
    <row r="441" customFormat="false" ht="14.25" hidden="false" customHeight="true" outlineLevel="0" collapsed="false">
      <c r="A441" s="511" t="n">
        <v>43685</v>
      </c>
      <c r="B441" s="507" t="n">
        <v>2938.090088</v>
      </c>
      <c r="C441" s="518" t="n">
        <f aca="false">(B441-B440)/B440</f>
        <v>0.0187623036134945</v>
      </c>
      <c r="D441" s="512" t="n">
        <v>135.68448387083</v>
      </c>
      <c r="E441" s="518" t="n">
        <f aca="false">(D441-D440)/D440</f>
        <v>0.032637919237703</v>
      </c>
    </row>
    <row r="442" customFormat="false" ht="14.25" hidden="false" customHeight="true" outlineLevel="0" collapsed="false">
      <c r="A442" s="513" t="n">
        <v>43686</v>
      </c>
      <c r="B442" s="514" t="n">
        <v>2918.649902</v>
      </c>
      <c r="C442" s="515" t="n">
        <f aca="false">(B442-B441)/B441</f>
        <v>-0.00661660650890151</v>
      </c>
      <c r="D442" s="516" t="n">
        <v>134.074250581818</v>
      </c>
      <c r="E442" s="515" t="n">
        <f aca="false">(D442-D441)/D441</f>
        <v>-0.0118674828770025</v>
      </c>
    </row>
    <row r="443" customFormat="false" ht="14.25" hidden="false" customHeight="true" outlineLevel="0" collapsed="false">
      <c r="A443" s="511" t="n">
        <v>43689</v>
      </c>
      <c r="B443" s="507" t="n">
        <v>2882.699951</v>
      </c>
      <c r="C443" s="518" t="n">
        <f aca="false">(B443-B442)/B442</f>
        <v>-0.0123173221205344</v>
      </c>
      <c r="D443" s="512" t="n">
        <v>130.943417250096</v>
      </c>
      <c r="E443" s="518" t="n">
        <f aca="false">(D443-D442)/D442</f>
        <v>-0.0233514885828987</v>
      </c>
    </row>
    <row r="444" customFormat="false" ht="14.25" hidden="false" customHeight="true" outlineLevel="0" collapsed="false">
      <c r="A444" s="513" t="n">
        <v>43690</v>
      </c>
      <c r="B444" s="514" t="n">
        <v>2926.320068</v>
      </c>
      <c r="C444" s="515" t="n">
        <f aca="false">(B444-B443)/B443</f>
        <v>0.0151316882580403</v>
      </c>
      <c r="D444" s="516" t="n">
        <v>134.398473806801</v>
      </c>
      <c r="E444" s="515" t="n">
        <f aca="false">(D444-D443)/D443</f>
        <v>0.0263858743666817</v>
      </c>
    </row>
    <row r="445" customFormat="false" ht="14.25" hidden="false" customHeight="true" outlineLevel="0" collapsed="false">
      <c r="A445" s="511" t="n">
        <v>43691</v>
      </c>
      <c r="B445" s="507" t="n">
        <v>2840.600098</v>
      </c>
      <c r="C445" s="518" t="n">
        <f aca="false">(B445-B444)/B444</f>
        <v>-0.0292927526750639</v>
      </c>
      <c r="D445" s="512" t="n">
        <v>127.239829058517</v>
      </c>
      <c r="E445" s="518" t="n">
        <f aca="false">(D445-D444)/D444</f>
        <v>-0.0532643306543393</v>
      </c>
    </row>
    <row r="446" customFormat="false" ht="14.25" hidden="false" customHeight="true" outlineLevel="0" collapsed="false">
      <c r="A446" s="513" t="n">
        <v>43692</v>
      </c>
      <c r="B446" s="514" t="n">
        <v>2847.600098</v>
      </c>
      <c r="C446" s="515" t="n">
        <f aca="false">(B446-B445)/B445</f>
        <v>0.00246426802735399</v>
      </c>
      <c r="D446" s="516" t="n">
        <v>127.747925709831</v>
      </c>
      <c r="E446" s="515" t="n">
        <f aca="false">(D446-D445)/D445</f>
        <v>0.00399322016599315</v>
      </c>
    </row>
    <row r="447" customFormat="false" ht="14.25" hidden="false" customHeight="true" outlineLevel="0" collapsed="false">
      <c r="A447" s="511" t="n">
        <v>43693</v>
      </c>
      <c r="B447" s="507" t="n">
        <v>2888.679932</v>
      </c>
      <c r="C447" s="518" t="n">
        <f aca="false">(B447-B446)/B446</f>
        <v>0.0144261246615536</v>
      </c>
      <c r="D447" s="512" t="n">
        <v>131.139911735606</v>
      </c>
      <c r="E447" s="518" t="n">
        <f aca="false">(D447-D446)/D446</f>
        <v>0.026552180843074</v>
      </c>
    </row>
    <row r="448" customFormat="false" ht="14.25" hidden="false" customHeight="true" outlineLevel="0" collapsed="false">
      <c r="A448" s="513" t="n">
        <v>43696</v>
      </c>
      <c r="B448" s="514" t="n">
        <v>2923.649902</v>
      </c>
      <c r="C448" s="515" t="n">
        <f aca="false">(B448-B447)/B447</f>
        <v>0.0121058652475175</v>
      </c>
      <c r="D448" s="516" t="n">
        <v>133.893935088281</v>
      </c>
      <c r="E448" s="515" t="n">
        <f aca="false">(D448-D447)/D447</f>
        <v>0.0210006497352801</v>
      </c>
    </row>
    <row r="449" customFormat="false" ht="14.25" hidden="false" customHeight="true" outlineLevel="0" collapsed="false">
      <c r="A449" s="511" t="n">
        <v>43697</v>
      </c>
      <c r="B449" s="507" t="n">
        <v>2900.51001</v>
      </c>
      <c r="C449" s="518" t="n">
        <f aca="false">(B449-B448)/B448</f>
        <v>-0.00791472740432112</v>
      </c>
      <c r="D449" s="512" t="n">
        <v>132.028338959548</v>
      </c>
      <c r="E449" s="518" t="n">
        <f aca="false">(D449-D448)/D448</f>
        <v>-0.0139333878528775</v>
      </c>
    </row>
    <row r="450" customFormat="false" ht="14.25" hidden="false" customHeight="true" outlineLevel="0" collapsed="false">
      <c r="A450" s="513" t="n">
        <v>43698</v>
      </c>
      <c r="B450" s="514" t="n">
        <v>2924.429932</v>
      </c>
      <c r="C450" s="515" t="n">
        <f aca="false">(B450-B449)/B449</f>
        <v>0.0082467986380092</v>
      </c>
      <c r="D450" s="516" t="n">
        <v>134.061770487253</v>
      </c>
      <c r="E450" s="515" t="n">
        <f aca="false">(D450-D449)/D449</f>
        <v>0.0154014777715868</v>
      </c>
    </row>
    <row r="451" customFormat="false" ht="14.25" hidden="false" customHeight="true" outlineLevel="0" collapsed="false">
      <c r="A451" s="511" t="n">
        <v>43699</v>
      </c>
      <c r="B451" s="507" t="n">
        <v>2922.949951</v>
      </c>
      <c r="C451" s="518" t="n">
        <f aca="false">(B451-B450)/B450</f>
        <v>-0.000506075041773288</v>
      </c>
      <c r="D451" s="512" t="n">
        <v>133.932734697822</v>
      </c>
      <c r="E451" s="518" t="n">
        <f aca="false">(D451-D450)/D450</f>
        <v>-0.000962509960609952</v>
      </c>
    </row>
    <row r="452" customFormat="false" ht="14.25" hidden="false" customHeight="true" outlineLevel="0" collapsed="false">
      <c r="A452" s="513" t="n">
        <v>43700</v>
      </c>
      <c r="B452" s="514" t="n">
        <v>2847.110107</v>
      </c>
      <c r="C452" s="515" t="n">
        <f aca="false">(B452-B451)/B451</f>
        <v>-0.0259463368416739</v>
      </c>
      <c r="D452" s="516" t="n">
        <v>128.238347064797</v>
      </c>
      <c r="E452" s="515" t="n">
        <f aca="false">(D452-D451)/D451</f>
        <v>-0.0425167726610872</v>
      </c>
    </row>
    <row r="453" customFormat="false" ht="14.25" hidden="false" customHeight="true" outlineLevel="0" collapsed="false">
      <c r="A453" s="511" t="n">
        <v>43703</v>
      </c>
      <c r="B453" s="507" t="n">
        <v>2878.379883</v>
      </c>
      <c r="C453" s="518" t="n">
        <f aca="false">(B453-B452)/B452</f>
        <v>0.0109829879508766</v>
      </c>
      <c r="D453" s="512" t="n">
        <v>130.494742491352</v>
      </c>
      <c r="E453" s="518" t="n">
        <f aca="false">(D453-D452)/D452</f>
        <v>0.0175953252533338</v>
      </c>
    </row>
    <row r="454" customFormat="false" ht="14.25" hidden="false" customHeight="true" outlineLevel="0" collapsed="false">
      <c r="A454" s="513" t="n">
        <v>43704</v>
      </c>
      <c r="B454" s="514" t="n">
        <v>2869.159912</v>
      </c>
      <c r="C454" s="515" t="n">
        <f aca="false">(B454-B453)/B453</f>
        <v>-0.0032031807387392</v>
      </c>
      <c r="D454" s="516" t="n">
        <v>129.77416923605</v>
      </c>
      <c r="E454" s="515" t="n">
        <f aca="false">(D454-D453)/D453</f>
        <v>-0.00552185660161571</v>
      </c>
    </row>
    <row r="455" customFormat="false" ht="14.25" hidden="false" customHeight="true" outlineLevel="0" collapsed="false">
      <c r="A455" s="511" t="n">
        <v>43705</v>
      </c>
      <c r="B455" s="507" t="n">
        <v>2887.939941</v>
      </c>
      <c r="C455" s="518" t="n">
        <f aca="false">(B455-B454)/B454</f>
        <v>0.00654548006245809</v>
      </c>
      <c r="D455" s="512" t="n">
        <v>131.374425122551</v>
      </c>
      <c r="E455" s="518" t="n">
        <f aca="false">(D455-D454)/D454</f>
        <v>0.0123310817239003</v>
      </c>
    </row>
    <row r="456" customFormat="false" ht="14.25" hidden="false" customHeight="true" outlineLevel="0" collapsed="false">
      <c r="A456" s="513" t="n">
        <v>43706</v>
      </c>
      <c r="B456" s="514" t="n">
        <v>2924.580078</v>
      </c>
      <c r="C456" s="515" t="n">
        <f aca="false">(B456-B455)/B455</f>
        <v>0.0126872918926813</v>
      </c>
      <c r="D456" s="516" t="n">
        <v>134.046923543134</v>
      </c>
      <c r="E456" s="515" t="n">
        <f aca="false">(D456-D455)/D455</f>
        <v>0.0203426079169518</v>
      </c>
    </row>
    <row r="457" customFormat="false" ht="14.25" hidden="false" customHeight="true" outlineLevel="0" collapsed="false">
      <c r="A457" s="511" t="n">
        <v>43707</v>
      </c>
      <c r="B457" s="507" t="n">
        <v>2926.459961</v>
      </c>
      <c r="C457" s="518" t="n">
        <f aca="false">(B457-B456)/B456</f>
        <v>0.000642787323260999</v>
      </c>
      <c r="D457" s="512" t="n">
        <v>134.205103428163</v>
      </c>
      <c r="E457" s="518" t="n">
        <f aca="false">(D457-D456)/D456</f>
        <v>0.00118003368408601</v>
      </c>
    </row>
    <row r="458" customFormat="false" ht="14.25" hidden="false" customHeight="true" outlineLevel="0" collapsed="false">
      <c r="A458" s="513" t="n">
        <v>43711</v>
      </c>
      <c r="B458" s="514" t="n">
        <v>2906.27002</v>
      </c>
      <c r="C458" s="515" t="n">
        <f aca="false">(B458-B457)/B457</f>
        <v>-0.0068991003700939</v>
      </c>
      <c r="D458" s="516" t="n">
        <v>132.455361308463</v>
      </c>
      <c r="E458" s="515" t="n">
        <f aca="false">(D458-D457)/D457</f>
        <v>-0.0130378210291875</v>
      </c>
    </row>
    <row r="459" customFormat="false" ht="14.25" hidden="false" customHeight="true" outlineLevel="0" collapsed="false">
      <c r="A459" s="511" t="n">
        <v>43712</v>
      </c>
      <c r="B459" s="507" t="n">
        <v>2937.780029</v>
      </c>
      <c r="C459" s="518" t="n">
        <f aca="false">(B459-B458)/B458</f>
        <v>0.0108420789476403</v>
      </c>
      <c r="D459" s="512" t="n">
        <v>135.19890746661</v>
      </c>
      <c r="E459" s="518" t="n">
        <f aca="false">(D459-D458)/D458</f>
        <v>0.0207129868587032</v>
      </c>
    </row>
    <row r="460" customFormat="false" ht="14.25" hidden="false" customHeight="true" outlineLevel="0" collapsed="false">
      <c r="A460" s="513" t="n">
        <v>43713</v>
      </c>
      <c r="B460" s="514" t="n">
        <v>2976</v>
      </c>
      <c r="C460" s="515" t="n">
        <f aca="false">(B460-B459)/B459</f>
        <v>0.0130098137446355</v>
      </c>
      <c r="D460" s="516" t="n">
        <v>138.306060774735</v>
      </c>
      <c r="E460" s="515" t="n">
        <f aca="false">(D460-D459)/D459</f>
        <v>0.0229820888818378</v>
      </c>
    </row>
    <row r="461" customFormat="false" ht="14.25" hidden="false" customHeight="true" outlineLevel="0" collapsed="false">
      <c r="A461" s="511" t="n">
        <v>43714</v>
      </c>
      <c r="B461" s="507" t="n">
        <v>2978.709961</v>
      </c>
      <c r="C461" s="518" t="n">
        <f aca="false">(B461-B460)/B460</f>
        <v>0.00091060517473119</v>
      </c>
      <c r="D461" s="512" t="n">
        <v>138.518795665245</v>
      </c>
      <c r="E461" s="518" t="n">
        <f aca="false">(D461-D460)/D460</f>
        <v>0.0015381458290284</v>
      </c>
    </row>
    <row r="462" customFormat="false" ht="14.25" hidden="false" customHeight="true" outlineLevel="0" collapsed="false">
      <c r="A462" s="513" t="n">
        <v>43717</v>
      </c>
      <c r="B462" s="514" t="n">
        <v>2978.429932</v>
      </c>
      <c r="C462" s="515" t="n">
        <f aca="false">(B462-B461)/B461</f>
        <v>-9.40101599908717E-005</v>
      </c>
      <c r="D462" s="516" t="n">
        <v>138.496747128102</v>
      </c>
      <c r="E462" s="515" t="n">
        <f aca="false">(D462-D461)/D461</f>
        <v>-0.000159173612773038</v>
      </c>
    </row>
    <row r="463" customFormat="false" ht="14.25" hidden="false" customHeight="true" outlineLevel="0" collapsed="false">
      <c r="A463" s="511" t="n">
        <v>43718</v>
      </c>
      <c r="B463" s="507" t="n">
        <v>2979.389893</v>
      </c>
      <c r="C463" s="518" t="n">
        <f aca="false">(B463-B462)/B462</f>
        <v>0.00032230437576734</v>
      </c>
      <c r="D463" s="512" t="n">
        <v>138.579526341026</v>
      </c>
      <c r="E463" s="518" t="n">
        <f aca="false">(D463-D462)/D462</f>
        <v>0.000597697885622131</v>
      </c>
    </row>
    <row r="464" customFormat="false" ht="14.25" hidden="false" customHeight="true" outlineLevel="0" collapsed="false">
      <c r="A464" s="513" t="n">
        <v>43719</v>
      </c>
      <c r="B464" s="514" t="n">
        <v>3000.929932</v>
      </c>
      <c r="C464" s="515" t="n">
        <f aca="false">(B464-B463)/B463</f>
        <v>0.0072296811674792</v>
      </c>
      <c r="D464" s="516" t="n">
        <v>140.371195441731</v>
      </c>
      <c r="E464" s="515" t="n">
        <f aca="false">(D464-D463)/D463</f>
        <v>0.0129288153020234</v>
      </c>
    </row>
    <row r="465" customFormat="false" ht="14.25" hidden="false" customHeight="true" outlineLevel="0" collapsed="false">
      <c r="A465" s="511" t="n">
        <v>43720</v>
      </c>
      <c r="B465" s="507" t="n">
        <v>3009.570068</v>
      </c>
      <c r="C465" s="518" t="n">
        <f aca="false">(B465-B464)/B464</f>
        <v>0.00287915286120715</v>
      </c>
      <c r="D465" s="512" t="n">
        <v>141.112437930578</v>
      </c>
      <c r="E465" s="518" t="n">
        <f aca="false">(D465-D464)/D464</f>
        <v>0.00528058827535384</v>
      </c>
    </row>
    <row r="466" customFormat="false" ht="14.25" hidden="false" customHeight="true" outlineLevel="0" collapsed="false">
      <c r="A466" s="513" t="n">
        <v>43721</v>
      </c>
      <c r="B466" s="514" t="n">
        <v>3007.389893</v>
      </c>
      <c r="C466" s="515" t="n">
        <f aca="false">(B466-B465)/B465</f>
        <v>-0.000724414102592664</v>
      </c>
      <c r="D466" s="516" t="n">
        <v>140.946489845737</v>
      </c>
      <c r="E466" s="515" t="n">
        <f aca="false">(D466-D465)/D465</f>
        <v>-0.00117599899253846</v>
      </c>
    </row>
    <row r="467" customFormat="false" ht="14.25" hidden="false" customHeight="true" outlineLevel="0" collapsed="false">
      <c r="A467" s="511" t="n">
        <v>43724</v>
      </c>
      <c r="B467" s="507" t="n">
        <v>2997.959961</v>
      </c>
      <c r="C467" s="518" t="n">
        <f aca="false">(B467-B466)/B466</f>
        <v>-0.00313558678306033</v>
      </c>
      <c r="D467" s="512" t="n">
        <v>140.121497194903</v>
      </c>
      <c r="E467" s="518" t="n">
        <f aca="false">(D467-D466)/D466</f>
        <v>-0.00585323303714024</v>
      </c>
    </row>
    <row r="468" customFormat="false" ht="14.25" hidden="false" customHeight="true" outlineLevel="0" collapsed="false">
      <c r="A468" s="513" t="n">
        <v>43725</v>
      </c>
      <c r="B468" s="514" t="n">
        <v>3005.699951</v>
      </c>
      <c r="C468" s="515" t="n">
        <f aca="false">(B468-B467)/B467</f>
        <v>0.00258175229178787</v>
      </c>
      <c r="D468" s="516" t="n">
        <v>140.799353370207</v>
      </c>
      <c r="E468" s="515" t="n">
        <f aca="false">(D468-D467)/D467</f>
        <v>0.00483763154743591</v>
      </c>
    </row>
    <row r="469" customFormat="false" ht="14.25" hidden="false" customHeight="true" outlineLevel="0" collapsed="false">
      <c r="A469" s="511" t="n">
        <v>43726</v>
      </c>
      <c r="B469" s="507" t="n">
        <v>3006.72998</v>
      </c>
      <c r="C469" s="518" t="n">
        <f aca="false">(B469-B468)/B468</f>
        <v>0.000342691891004397</v>
      </c>
      <c r="D469" s="512" t="n">
        <v>140.884156752478</v>
      </c>
      <c r="E469" s="518" t="n">
        <f aca="false">(D469-D468)/D468</f>
        <v>0.000602299515169046</v>
      </c>
    </row>
    <row r="470" customFormat="false" ht="14.25" hidden="false" customHeight="true" outlineLevel="0" collapsed="false">
      <c r="A470" s="513" t="n">
        <v>43727</v>
      </c>
      <c r="B470" s="514" t="n">
        <v>3006.790039</v>
      </c>
      <c r="C470" s="515" t="n">
        <f aca="false">(B470-B469)/B469</f>
        <v>1.99748565383015E-005</v>
      </c>
      <c r="D470" s="516" t="n">
        <v>140.88916258591</v>
      </c>
      <c r="E470" s="515" t="n">
        <f aca="false">(D470-D469)/D469</f>
        <v>3.55315569002487E-005</v>
      </c>
    </row>
    <row r="471" customFormat="false" ht="14.25" hidden="false" customHeight="true" outlineLevel="0" collapsed="false">
      <c r="A471" s="511" t="n">
        <v>43728</v>
      </c>
      <c r="B471" s="507" t="n">
        <v>2992.070068</v>
      </c>
      <c r="C471" s="518" t="n">
        <f aca="false">(B471-B470)/B470</f>
        <v>-0.00489557661461974</v>
      </c>
      <c r="D471" s="512" t="n">
        <v>139.575437167303</v>
      </c>
      <c r="E471" s="518" t="n">
        <f aca="false">(D471-D470)/D470</f>
        <v>-0.00932453138690438</v>
      </c>
    </row>
    <row r="472" customFormat="false" ht="14.25" hidden="false" customHeight="true" outlineLevel="0" collapsed="false">
      <c r="A472" s="513" t="n">
        <v>43731</v>
      </c>
      <c r="B472" s="514" t="n">
        <v>2991.780029</v>
      </c>
      <c r="C472" s="515" t="n">
        <f aca="false">(B472-B471)/B471</f>
        <v>-9.69358983607796E-005</v>
      </c>
      <c r="D472" s="516" t="n">
        <v>139.551447413605</v>
      </c>
      <c r="E472" s="515" t="n">
        <f aca="false">(D472-D471)/D471</f>
        <v>-0.000171876615147179</v>
      </c>
    </row>
    <row r="473" customFormat="false" ht="14.25" hidden="false" customHeight="true" outlineLevel="0" collapsed="false">
      <c r="A473" s="511" t="n">
        <v>43732</v>
      </c>
      <c r="B473" s="507" t="n">
        <v>2966.600098</v>
      </c>
      <c r="C473" s="518" t="n">
        <f aca="false">(B473-B472)/B472</f>
        <v>-0.00841637110881327</v>
      </c>
      <c r="D473" s="512" t="n">
        <v>137.491137146446</v>
      </c>
      <c r="E473" s="518" t="n">
        <f aca="false">(D473-D472)/D472</f>
        <v>-0.0147638043556267</v>
      </c>
    </row>
    <row r="474" customFormat="false" ht="14.25" hidden="false" customHeight="true" outlineLevel="0" collapsed="false">
      <c r="A474" s="513" t="n">
        <v>43733</v>
      </c>
      <c r="B474" s="514" t="n">
        <v>2984.870117</v>
      </c>
      <c r="C474" s="515" t="n">
        <f aca="false">(B474-B473)/B473</f>
        <v>0.00615857156221265</v>
      </c>
      <c r="D474" s="516" t="n">
        <v>138.967936126521</v>
      </c>
      <c r="E474" s="515" t="n">
        <f aca="false">(D474-D473)/D473</f>
        <v>0.0107410485557482</v>
      </c>
    </row>
    <row r="475" customFormat="false" ht="14.25" hidden="false" customHeight="true" outlineLevel="0" collapsed="false">
      <c r="A475" s="511" t="n">
        <v>43734</v>
      </c>
      <c r="B475" s="507" t="n">
        <v>2977.620117</v>
      </c>
      <c r="C475" s="518" t="n">
        <f aca="false">(B475-B474)/B474</f>
        <v>-0.00242891640701832</v>
      </c>
      <c r="D475" s="512" t="n">
        <v>138.358785968862</v>
      </c>
      <c r="E475" s="518" t="n">
        <f aca="false">(D475-D474)/D474</f>
        <v>-0.0043833863741375</v>
      </c>
    </row>
    <row r="476" customFormat="false" ht="14.25" hidden="false" customHeight="true" outlineLevel="0" collapsed="false">
      <c r="A476" s="513" t="n">
        <v>43735</v>
      </c>
      <c r="B476" s="514" t="n">
        <v>2961.790039</v>
      </c>
      <c r="C476" s="515" t="n">
        <f aca="false">(B476-B475)/B475</f>
        <v>-0.00531635244859543</v>
      </c>
      <c r="D476" s="516" t="n">
        <v>136.971987187436</v>
      </c>
      <c r="E476" s="515" t="n">
        <f aca="false">(D476-D475)/D475</f>
        <v>-0.0100232072124288</v>
      </c>
    </row>
    <row r="477" customFormat="false" ht="14.25" hidden="false" customHeight="true" outlineLevel="0" collapsed="false">
      <c r="A477" s="511" t="n">
        <v>43738</v>
      </c>
      <c r="B477" s="507" t="n">
        <v>2976.73999</v>
      </c>
      <c r="C477" s="518" t="n">
        <f aca="false">(B477-B476)/B476</f>
        <v>0.00504760661733053</v>
      </c>
      <c r="D477" s="512" t="n">
        <v>138.095878690233</v>
      </c>
      <c r="E477" s="518" t="n">
        <f aca="false">(D477-D476)/D476</f>
        <v>0.00820526536757499</v>
      </c>
    </row>
    <row r="478" customFormat="false" ht="14.25" hidden="false" customHeight="true" outlineLevel="0" collapsed="false">
      <c r="A478" s="513" t="n">
        <v>43739</v>
      </c>
      <c r="B478" s="514" t="n">
        <v>2940.25</v>
      </c>
      <c r="C478" s="515" t="n">
        <f aca="false">(B478-B477)/B477</f>
        <v>-0.0122583732951429</v>
      </c>
      <c r="D478" s="516" t="n">
        <v>135.247207987694</v>
      </c>
      <c r="E478" s="515" t="n">
        <f aca="false">(D478-D477)/D477</f>
        <v>-0.0206282093973923</v>
      </c>
    </row>
    <row r="479" customFormat="false" ht="14.25" hidden="false" customHeight="true" outlineLevel="0" collapsed="false">
      <c r="A479" s="511" t="n">
        <v>43740</v>
      </c>
      <c r="B479" s="507" t="n">
        <v>2887.610107</v>
      </c>
      <c r="C479" s="518" t="n">
        <f aca="false">(B479-B478)/B478</f>
        <v>-0.0179032031289856</v>
      </c>
      <c r="D479" s="512" t="n">
        <v>130.99550221425</v>
      </c>
      <c r="E479" s="518" t="n">
        <f aca="false">(D479-D478)/D478</f>
        <v>-0.0314365511621568</v>
      </c>
    </row>
    <row r="480" customFormat="false" ht="14.25" hidden="false" customHeight="true" outlineLevel="0" collapsed="false">
      <c r="A480" s="513" t="n">
        <v>43741</v>
      </c>
      <c r="B480" s="514" t="n">
        <v>2910.629883</v>
      </c>
      <c r="C480" s="515" t="n">
        <f aca="false">(B480-B479)/B479</f>
        <v>0.00797191280921088</v>
      </c>
      <c r="D480" s="516" t="n">
        <v>132.685033213116</v>
      </c>
      <c r="E480" s="515" t="n">
        <f aca="false">(D480-D479)/D479</f>
        <v>0.0128976260276683</v>
      </c>
    </row>
    <row r="481" customFormat="false" ht="14.25" hidden="false" customHeight="true" outlineLevel="0" collapsed="false">
      <c r="A481" s="511" t="n">
        <v>43742</v>
      </c>
      <c r="B481" s="507" t="n">
        <v>2952.01001</v>
      </c>
      <c r="C481" s="518" t="n">
        <f aca="false">(B481-B480)/B480</f>
        <v>0.014216897600649</v>
      </c>
      <c r="D481" s="512" t="n">
        <v>136.210120316541</v>
      </c>
      <c r="E481" s="518" t="n">
        <f aca="false">(D481-D480)/D480</f>
        <v>0.0265673303013996</v>
      </c>
    </row>
    <row r="482" customFormat="false" ht="14.25" hidden="false" customHeight="true" outlineLevel="0" collapsed="false">
      <c r="A482" s="513" t="n">
        <v>43745</v>
      </c>
      <c r="B482" s="514" t="n">
        <v>2938.790039</v>
      </c>
      <c r="C482" s="515" t="n">
        <f aca="false">(B482-B481)/B481</f>
        <v>-0.00447829477380396</v>
      </c>
      <c r="D482" s="516" t="n">
        <v>135.109220732786</v>
      </c>
      <c r="E482" s="515" t="n">
        <f aca="false">(D482-D481)/D481</f>
        <v>-0.0080823626115049</v>
      </c>
    </row>
    <row r="483" customFormat="false" ht="14.25" hidden="false" customHeight="true" outlineLevel="0" collapsed="false">
      <c r="A483" s="511" t="n">
        <v>43746</v>
      </c>
      <c r="B483" s="507" t="n">
        <v>2893.060059</v>
      </c>
      <c r="C483" s="518" t="n">
        <f aca="false">(B483-B482)/B482</f>
        <v>-0.0155608190422344</v>
      </c>
      <c r="D483" s="512" t="n">
        <v>131.482915194609</v>
      </c>
      <c r="E483" s="518" t="n">
        <f aca="false">(D483-D482)/D482</f>
        <v>-0.0268398079606201</v>
      </c>
    </row>
    <row r="484" customFormat="false" ht="14.25" hidden="false" customHeight="true" outlineLevel="0" collapsed="false">
      <c r="A484" s="513" t="n">
        <v>43747</v>
      </c>
      <c r="B484" s="514" t="n">
        <v>2919.399902</v>
      </c>
      <c r="C484" s="515" t="n">
        <f aca="false">(B484-B483)/B483</f>
        <v>0.00910449228942198</v>
      </c>
      <c r="D484" s="516" t="n">
        <v>133.490566982407</v>
      </c>
      <c r="E484" s="515" t="n">
        <f aca="false">(D484-D483)/D483</f>
        <v>0.0152692978006035</v>
      </c>
    </row>
    <row r="485" customFormat="false" ht="14.25" hidden="false" customHeight="true" outlineLevel="0" collapsed="false">
      <c r="A485" s="511" t="n">
        <v>43748</v>
      </c>
      <c r="B485" s="507" t="n">
        <v>2938.129883</v>
      </c>
      <c r="C485" s="518" t="n">
        <f aca="false">(B485-B484)/B484</f>
        <v>0.00641569556372478</v>
      </c>
      <c r="D485" s="512" t="n">
        <v>135.121908060729</v>
      </c>
      <c r="E485" s="518" t="n">
        <f aca="false">(D485-D484)/D484</f>
        <v>0.0122206468606655</v>
      </c>
    </row>
    <row r="486" customFormat="false" ht="14.25" hidden="false" customHeight="true" outlineLevel="0" collapsed="false">
      <c r="A486" s="513" t="n">
        <v>43749</v>
      </c>
      <c r="B486" s="514" t="n">
        <v>2970.27002</v>
      </c>
      <c r="C486" s="515" t="n">
        <f aca="false">(B486-B485)/B485</f>
        <v>0.010938977608159</v>
      </c>
      <c r="D486" s="516" t="n">
        <v>137.538348965823</v>
      </c>
      <c r="E486" s="515" t="n">
        <f aca="false">(D486-D485)/D485</f>
        <v>0.017883413132443</v>
      </c>
    </row>
    <row r="487" customFormat="false" ht="14.25" hidden="false" customHeight="true" outlineLevel="0" collapsed="false">
      <c r="A487" s="511" t="n">
        <v>43752</v>
      </c>
      <c r="B487" s="507" t="n">
        <v>2966.149902</v>
      </c>
      <c r="C487" s="518" t="n">
        <f aca="false">(B487-B486)/B486</f>
        <v>-0.0013871190067763</v>
      </c>
      <c r="D487" s="512" t="n">
        <v>137.208945568567</v>
      </c>
      <c r="E487" s="518" t="n">
        <f aca="false">(D487-D486)/D486</f>
        <v>-0.0023949931036168</v>
      </c>
    </row>
    <row r="488" customFormat="false" ht="14.25" hidden="false" customHeight="true" outlineLevel="0" collapsed="false">
      <c r="A488" s="513" t="n">
        <v>43753</v>
      </c>
      <c r="B488" s="514" t="n">
        <v>2995.679932</v>
      </c>
      <c r="C488" s="515" t="n">
        <f aca="false">(B488-B487)/B487</f>
        <v>0.00995567687934064</v>
      </c>
      <c r="D488" s="516" t="n">
        <v>139.57126939858</v>
      </c>
      <c r="E488" s="515" t="n">
        <f aca="false">(D488-D487)/D487</f>
        <v>0.017216981153991</v>
      </c>
    </row>
    <row r="489" customFormat="false" ht="14.25" hidden="false" customHeight="true" outlineLevel="0" collapsed="false">
      <c r="A489" s="511" t="n">
        <v>43754</v>
      </c>
      <c r="B489" s="507" t="n">
        <v>2989.689941</v>
      </c>
      <c r="C489" s="518" t="n">
        <f aca="false">(B489-B488)/B488</f>
        <v>-0.00199954305398736</v>
      </c>
      <c r="D489" s="512" t="n">
        <v>139.043969415906</v>
      </c>
      <c r="E489" s="518" t="n">
        <f aca="false">(D489-D488)/D488</f>
        <v>-0.00377799804319451</v>
      </c>
    </row>
    <row r="490" customFormat="false" ht="14.25" hidden="false" customHeight="true" outlineLevel="0" collapsed="false">
      <c r="A490" s="513" t="n">
        <v>43755</v>
      </c>
      <c r="B490" s="514" t="n">
        <v>2997.949951</v>
      </c>
      <c r="C490" s="515" t="n">
        <f aca="false">(B490-B489)/B489</f>
        <v>0.00276283165244792</v>
      </c>
      <c r="D490" s="516" t="n">
        <v>139.668176867631</v>
      </c>
      <c r="E490" s="515" t="n">
        <f aca="false">(D490-D489)/D489</f>
        <v>0.00448928101195011</v>
      </c>
    </row>
    <row r="491" customFormat="false" ht="14.25" hidden="false" customHeight="true" outlineLevel="0" collapsed="false">
      <c r="A491" s="511" t="n">
        <v>43756</v>
      </c>
      <c r="B491" s="507" t="n">
        <v>2986.199951</v>
      </c>
      <c r="C491" s="518" t="n">
        <f aca="false">(B491-B490)/B490</f>
        <v>-0.00391934494973162</v>
      </c>
      <c r="D491" s="512" t="n">
        <v>138.782315608799</v>
      </c>
      <c r="E491" s="518" t="n">
        <f aca="false">(D491-D490)/D490</f>
        <v>-0.00634261346213146</v>
      </c>
    </row>
    <row r="492" customFormat="false" ht="14.25" hidden="false" customHeight="true" outlineLevel="0" collapsed="false">
      <c r="A492" s="513" t="n">
        <v>43759</v>
      </c>
      <c r="B492" s="514" t="n">
        <v>3006.719971</v>
      </c>
      <c r="C492" s="515" t="n">
        <f aca="false">(B492-B491)/B491</f>
        <v>0.00687161621348507</v>
      </c>
      <c r="D492" s="516" t="n">
        <v>140.332487725782</v>
      </c>
      <c r="E492" s="515" t="n">
        <f aca="false">(D492-D491)/D491</f>
        <v>0.0111698101460753</v>
      </c>
    </row>
    <row r="493" customFormat="false" ht="14.25" hidden="false" customHeight="true" outlineLevel="0" collapsed="false">
      <c r="A493" s="511" t="n">
        <v>43760</v>
      </c>
      <c r="B493" s="507" t="n">
        <v>2995.98999</v>
      </c>
      <c r="C493" s="518" t="n">
        <f aca="false">(B493-B492)/B492</f>
        <v>-0.00356866655474779</v>
      </c>
      <c r="D493" s="512" t="n">
        <v>139.438646818939</v>
      </c>
      <c r="E493" s="518" t="n">
        <f aca="false">(D493-D492)/D492</f>
        <v>-0.00636945101828177</v>
      </c>
    </row>
    <row r="494" customFormat="false" ht="14.25" hidden="false" customHeight="true" outlineLevel="0" collapsed="false">
      <c r="A494" s="513" t="n">
        <v>43761</v>
      </c>
      <c r="B494" s="514" t="n">
        <v>3004.52002</v>
      </c>
      <c r="C494" s="515" t="n">
        <f aca="false">(B494-B493)/B493</f>
        <v>0.00284714903202994</v>
      </c>
      <c r="D494" s="516" t="n">
        <v>140.148478038025</v>
      </c>
      <c r="E494" s="515" t="n">
        <f aca="false">(D494-D493)/D493</f>
        <v>0.00509063473634906</v>
      </c>
    </row>
    <row r="495" customFormat="false" ht="14.25" hidden="false" customHeight="true" outlineLevel="0" collapsed="false">
      <c r="A495" s="511" t="n">
        <v>43762</v>
      </c>
      <c r="B495" s="507" t="n">
        <v>3010.290039</v>
      </c>
      <c r="C495" s="518" t="n">
        <f aca="false">(B495-B494)/B494</f>
        <v>0.00192044618161674</v>
      </c>
      <c r="D495" s="512" t="n">
        <v>140.598623462445</v>
      </c>
      <c r="E495" s="518" t="n">
        <f aca="false">(D495-D494)/D494</f>
        <v>0.00321191803665454</v>
      </c>
    </row>
    <row r="496" customFormat="false" ht="14.25" hidden="false" customHeight="true" outlineLevel="0" collapsed="false">
      <c r="A496" s="513" t="n">
        <v>43763</v>
      </c>
      <c r="B496" s="514" t="n">
        <v>3022.550049</v>
      </c>
      <c r="C496" s="515" t="n">
        <f aca="false">(B496-B495)/B495</f>
        <v>0.00407270058405158</v>
      </c>
      <c r="D496" s="516" t="n">
        <v>141.628912709428</v>
      </c>
      <c r="E496" s="515" t="n">
        <f aca="false">(D496-D495)/D495</f>
        <v>0.00732787577581218</v>
      </c>
    </row>
    <row r="497" customFormat="false" ht="14.25" hidden="false" customHeight="true" outlineLevel="0" collapsed="false">
      <c r="A497" s="511" t="n">
        <v>43766</v>
      </c>
      <c r="B497" s="507" t="n">
        <v>3039.419922</v>
      </c>
      <c r="C497" s="518" t="n">
        <f aca="false">(B497-B496)/B496</f>
        <v>0.00558133785264579</v>
      </c>
      <c r="D497" s="512" t="n">
        <v>143.079825645497</v>
      </c>
      <c r="E497" s="518" t="n">
        <f aca="false">(D497-D496)/D496</f>
        <v>0.0102444685079647</v>
      </c>
    </row>
    <row r="498" customFormat="false" ht="14.25" hidden="false" customHeight="true" outlineLevel="0" collapsed="false">
      <c r="A498" s="513" t="n">
        <v>43767</v>
      </c>
      <c r="B498" s="514" t="n">
        <v>3036.889893</v>
      </c>
      <c r="C498" s="515" t="n">
        <f aca="false">(B498-B497)/B497</f>
        <v>-0.000832405217089978</v>
      </c>
      <c r="D498" s="516" t="n">
        <v>142.874756086852</v>
      </c>
      <c r="E498" s="515" t="n">
        <f aca="false">(D498-D497)/D497</f>
        <v>-0.00143325278542842</v>
      </c>
    </row>
    <row r="499" customFormat="false" ht="14.25" hidden="false" customHeight="true" outlineLevel="0" collapsed="false">
      <c r="A499" s="511" t="n">
        <v>43768</v>
      </c>
      <c r="B499" s="507" t="n">
        <v>3046.77002</v>
      </c>
      <c r="C499" s="518" t="n">
        <f aca="false">(B499-B498)/B498</f>
        <v>0.00325337017412896</v>
      </c>
      <c r="D499" s="512" t="n">
        <v>143.748195155362</v>
      </c>
      <c r="E499" s="518" t="n">
        <f aca="false">(D499-D498)/D498</f>
        <v>0.00611331975243447</v>
      </c>
    </row>
    <row r="500" customFormat="false" ht="14.25" hidden="false" customHeight="true" outlineLevel="0" collapsed="false">
      <c r="A500" s="513" t="n">
        <v>43769</v>
      </c>
      <c r="B500" s="514" t="n">
        <v>3037.560059</v>
      </c>
      <c r="C500" s="515" t="n">
        <f aca="false">(B500-B499)/B499</f>
        <v>-0.00302286058335313</v>
      </c>
      <c r="D500" s="516" t="n">
        <v>143.018058026794</v>
      </c>
      <c r="E500" s="515" t="n">
        <f aca="false">(D500-D499)/D499</f>
        <v>-0.00507927858001192</v>
      </c>
    </row>
    <row r="501" customFormat="false" ht="14.25" hidden="false" customHeight="true" outlineLevel="0" collapsed="false">
      <c r="A501" s="511" t="n">
        <v>43770</v>
      </c>
      <c r="B501" s="507" t="n">
        <v>3066.909912</v>
      </c>
      <c r="C501" s="518" t="n">
        <f aca="false">(B501-B500)/B500</f>
        <v>0.00966231199710418</v>
      </c>
      <c r="D501" s="512" t="n">
        <v>145.531332397635</v>
      </c>
      <c r="E501" s="518" t="n">
        <f aca="false">(D501-D500)/D500</f>
        <v>0.0175731261178931</v>
      </c>
    </row>
    <row r="502" customFormat="false" ht="14.25" hidden="false" customHeight="true" outlineLevel="0" collapsed="false">
      <c r="A502" s="513" t="n">
        <v>43773</v>
      </c>
      <c r="B502" s="514" t="n">
        <v>3078.27002</v>
      </c>
      <c r="C502" s="515" t="n">
        <f aca="false">(B502-B501)/B501</f>
        <v>0.00370408923834078</v>
      </c>
      <c r="D502" s="516" t="n">
        <v>146.554421766462</v>
      </c>
      <c r="E502" s="515" t="n">
        <f aca="false">(D502-D501)/D501</f>
        <v>0.0070300281868624</v>
      </c>
    </row>
    <row r="503" customFormat="false" ht="14.25" hidden="false" customHeight="true" outlineLevel="0" collapsed="false">
      <c r="A503" s="511" t="n">
        <v>43774</v>
      </c>
      <c r="B503" s="507" t="n">
        <v>3074.620117</v>
      </c>
      <c r="C503" s="518" t="n">
        <f aca="false">(B503-B502)/B502</f>
        <v>-0.00118569942736862</v>
      </c>
      <c r="D503" s="512" t="n">
        <v>146.264651126835</v>
      </c>
      <c r="E503" s="518" t="n">
        <f aca="false">(D503-D502)/D502</f>
        <v>-0.00197722208674658</v>
      </c>
    </row>
    <row r="504" customFormat="false" ht="14.25" hidden="false" customHeight="true" outlineLevel="0" collapsed="false">
      <c r="A504" s="513" t="n">
        <v>43775</v>
      </c>
      <c r="B504" s="514" t="n">
        <v>3076.780029</v>
      </c>
      <c r="C504" s="515" t="n">
        <f aca="false">(B504-B503)/B503</f>
        <v>0.000702497192436108</v>
      </c>
      <c r="D504" s="516" t="n">
        <v>146.458753024915</v>
      </c>
      <c r="E504" s="515" t="n">
        <f aca="false">(D504-D503)/D503</f>
        <v>0.00132705952247959</v>
      </c>
    </row>
    <row r="505" customFormat="false" ht="14.25" hidden="false" customHeight="true" outlineLevel="0" collapsed="false">
      <c r="A505" s="511" t="n">
        <v>43776</v>
      </c>
      <c r="B505" s="507" t="n">
        <v>3085.179932</v>
      </c>
      <c r="C505" s="518" t="n">
        <f aca="false">(B505-B504)/B504</f>
        <v>0.00273009539870489</v>
      </c>
      <c r="D505" s="512" t="n">
        <v>147.114562268624</v>
      </c>
      <c r="E505" s="518" t="n">
        <f aca="false">(D505-D504)/D504</f>
        <v>0.00447777432324197</v>
      </c>
    </row>
    <row r="506" customFormat="false" ht="14.25" hidden="false" customHeight="true" outlineLevel="0" collapsed="false">
      <c r="A506" s="513" t="n">
        <v>43777</v>
      </c>
      <c r="B506" s="514" t="n">
        <v>3093.080078</v>
      </c>
      <c r="C506" s="515" t="n">
        <f aca="false">(B506-B505)/B505</f>
        <v>0.00256067593272545</v>
      </c>
      <c r="D506" s="516" t="n">
        <v>147.82652657295</v>
      </c>
      <c r="E506" s="515" t="n">
        <f aca="false">(D506-D505)/D505</f>
        <v>0.00483952297683472</v>
      </c>
    </row>
    <row r="507" customFormat="false" ht="14.25" hidden="false" customHeight="true" outlineLevel="0" collapsed="false">
      <c r="A507" s="511" t="n">
        <v>43780</v>
      </c>
      <c r="B507" s="507" t="n">
        <v>3087.01001</v>
      </c>
      <c r="C507" s="518" t="n">
        <f aca="false">(B507-B506)/B506</f>
        <v>-0.00196246713532387</v>
      </c>
      <c r="D507" s="512" t="n">
        <v>147.35570661195</v>
      </c>
      <c r="E507" s="518" t="n">
        <f aca="false">(D507-D506)/D506</f>
        <v>-0.00318494908806267</v>
      </c>
    </row>
    <row r="508" customFormat="false" ht="14.25" hidden="false" customHeight="true" outlineLevel="0" collapsed="false">
      <c r="A508" s="513" t="n">
        <v>43781</v>
      </c>
      <c r="B508" s="514" t="n">
        <v>3091.840088</v>
      </c>
      <c r="C508" s="515" t="n">
        <f aca="false">(B508-B507)/B507</f>
        <v>0.00156464604402107</v>
      </c>
      <c r="D508" s="516" t="n">
        <v>147.745231540676</v>
      </c>
      <c r="E508" s="515" t="n">
        <f aca="false">(D508-D507)/D507</f>
        <v>0.0026434329398031</v>
      </c>
    </row>
    <row r="509" customFormat="false" ht="14.25" hidden="false" customHeight="true" outlineLevel="0" collapsed="false">
      <c r="A509" s="511" t="n">
        <v>43782</v>
      </c>
      <c r="B509" s="507" t="n">
        <v>3094.040039</v>
      </c>
      <c r="C509" s="518" t="n">
        <f aca="false">(B509-B508)/B508</f>
        <v>0.000711534535223368</v>
      </c>
      <c r="D509" s="512" t="n">
        <v>147.940686339649</v>
      </c>
      <c r="E509" s="518" t="n">
        <f aca="false">(D509-D508)/D508</f>
        <v>0.00132291781558576</v>
      </c>
    </row>
    <row r="510" customFormat="false" ht="14.25" hidden="false" customHeight="true" outlineLevel="0" collapsed="false">
      <c r="A510" s="513" t="n">
        <v>43783</v>
      </c>
      <c r="B510" s="514" t="n">
        <v>3096.629883</v>
      </c>
      <c r="C510" s="515" t="n">
        <f aca="false">(B510-B509)/B509</f>
        <v>0.000837042820181838</v>
      </c>
      <c r="D510" s="516" t="n">
        <v>148.16077300114</v>
      </c>
      <c r="E510" s="515" t="n">
        <f aca="false">(D510-D509)/D509</f>
        <v>0.00148766824689261</v>
      </c>
    </row>
    <row r="511" customFormat="false" ht="14.25" hidden="false" customHeight="true" outlineLevel="0" collapsed="false">
      <c r="A511" s="511" t="n">
        <v>43784</v>
      </c>
      <c r="B511" s="507" t="n">
        <v>3120.459961</v>
      </c>
      <c r="C511" s="518" t="n">
        <f aca="false">(B511-B510)/B510</f>
        <v>0.00769548796607023</v>
      </c>
      <c r="D511" s="512" t="n">
        <v>150.062137252361</v>
      </c>
      <c r="E511" s="518" t="n">
        <f aca="false">(D511-D510)/D510</f>
        <v>0.0128331150864498</v>
      </c>
    </row>
    <row r="512" customFormat="false" ht="14.25" hidden="false" customHeight="true" outlineLevel="0" collapsed="false">
      <c r="A512" s="513" t="n">
        <v>43787</v>
      </c>
      <c r="B512" s="514" t="n">
        <v>3122.030029</v>
      </c>
      <c r="C512" s="515" t="n">
        <f aca="false">(B512-B511)/B511</f>
        <v>0.000503152746589589</v>
      </c>
      <c r="D512" s="516" t="n">
        <v>150.198853788307</v>
      </c>
      <c r="E512" s="515" t="n">
        <f aca="false">(D512-D511)/D511</f>
        <v>0.000911066165318408</v>
      </c>
    </row>
    <row r="513" customFormat="false" ht="14.25" hidden="false" customHeight="true" outlineLevel="0" collapsed="false">
      <c r="A513" s="511" t="n">
        <v>43788</v>
      </c>
      <c r="B513" s="507" t="n">
        <v>3120.179932</v>
      </c>
      <c r="C513" s="518" t="n">
        <f aca="false">(B513-B512)/B512</f>
        <v>-0.000592594236062681</v>
      </c>
      <c r="D513" s="512" t="n">
        <v>150.037016563926</v>
      </c>
      <c r="E513" s="518" t="n">
        <f aca="false">(D513-D512)/D512</f>
        <v>-0.0010774864141713</v>
      </c>
    </row>
    <row r="514" customFormat="false" ht="14.25" hidden="false" customHeight="true" outlineLevel="0" collapsed="false">
      <c r="A514" s="513" t="n">
        <v>43789</v>
      </c>
      <c r="B514" s="514" t="n">
        <v>3108.459961</v>
      </c>
      <c r="C514" s="515" t="n">
        <f aca="false">(B514-B513)/B513</f>
        <v>-0.00375618434046129</v>
      </c>
      <c r="D514" s="516" t="n">
        <v>149.121566206067</v>
      </c>
      <c r="E514" s="515" t="n">
        <f aca="false">(D514-D513)/D513</f>
        <v>-0.00610149667611488</v>
      </c>
    </row>
    <row r="515" customFormat="false" ht="14.25" hidden="false" customHeight="true" outlineLevel="0" collapsed="false">
      <c r="A515" s="511" t="n">
        <v>43790</v>
      </c>
      <c r="B515" s="507" t="n">
        <v>3103.540039</v>
      </c>
      <c r="C515" s="518" t="n">
        <f aca="false">(B515-B514)/B514</f>
        <v>-0.00158275225086615</v>
      </c>
      <c r="D515" s="512" t="n">
        <v>148.700001534549</v>
      </c>
      <c r="E515" s="518" t="n">
        <f aca="false">(D515-D514)/D514</f>
        <v>-0.00282698661396477</v>
      </c>
    </row>
    <row r="516" customFormat="false" ht="14.25" hidden="false" customHeight="true" outlineLevel="0" collapsed="false">
      <c r="A516" s="513" t="n">
        <v>43791</v>
      </c>
      <c r="B516" s="514" t="n">
        <v>3110.290039</v>
      </c>
      <c r="C516" s="515" t="n">
        <f aca="false">(B516-B515)/B515</f>
        <v>0.00217493569123566</v>
      </c>
      <c r="D516" s="516" t="n">
        <v>149.281299999204</v>
      </c>
      <c r="E516" s="515" t="n">
        <f aca="false">(D516-D515)/D515</f>
        <v>0.00390920281544154</v>
      </c>
    </row>
    <row r="517" customFormat="false" ht="14.25" hidden="false" customHeight="true" outlineLevel="0" collapsed="false">
      <c r="A517" s="511" t="n">
        <v>43794</v>
      </c>
      <c r="B517" s="507" t="n">
        <v>3133.639893</v>
      </c>
      <c r="C517" s="518" t="n">
        <f aca="false">(B517-B516)/B516</f>
        <v>0.00750729150889971</v>
      </c>
      <c r="D517" s="512" t="n">
        <v>151.278956199221</v>
      </c>
      <c r="E517" s="518" t="n">
        <f aca="false">(D517-D516)/D516</f>
        <v>0.0133818247833295</v>
      </c>
    </row>
    <row r="518" customFormat="false" ht="14.25" hidden="false" customHeight="true" outlineLevel="0" collapsed="false">
      <c r="A518" s="513" t="n">
        <v>43795</v>
      </c>
      <c r="B518" s="514" t="n">
        <v>3140.52002</v>
      </c>
      <c r="C518" s="515" t="n">
        <f aca="false">(B518-B517)/B517</f>
        <v>0.00219557040212849</v>
      </c>
      <c r="D518" s="516" t="n">
        <v>151.889998456555</v>
      </c>
      <c r="E518" s="515" t="n">
        <f aca="false">(D518-D517)/D517</f>
        <v>0.00403917552504331</v>
      </c>
    </row>
    <row r="519" customFormat="false" ht="14.25" hidden="false" customHeight="true" outlineLevel="0" collapsed="false">
      <c r="A519" s="511" t="n">
        <v>43796</v>
      </c>
      <c r="B519" s="507" t="n">
        <v>3153.629883</v>
      </c>
      <c r="C519" s="518" t="n">
        <f aca="false">(B519-B518)/B518</f>
        <v>0.0041744242725764</v>
      </c>
      <c r="D519" s="512" t="n">
        <v>152.931605801792</v>
      </c>
      <c r="E519" s="518" t="n">
        <f aca="false">(D519-D518)/D518</f>
        <v>0.00685764274028173</v>
      </c>
    </row>
    <row r="520" customFormat="false" ht="14.25" hidden="false" customHeight="true" outlineLevel="0" collapsed="false">
      <c r="A520" s="513" t="n">
        <v>43798</v>
      </c>
      <c r="B520" s="514" t="n">
        <v>3140.97998</v>
      </c>
      <c r="C520" s="515" t="n">
        <f aca="false">(B520-B519)/B519</f>
        <v>-0.00401121991778133</v>
      </c>
      <c r="D520" s="516" t="n">
        <v>151.761553859319</v>
      </c>
      <c r="E520" s="515" t="n">
        <f aca="false">(D520-D519)/D519</f>
        <v>-0.00765081839256585</v>
      </c>
    </row>
    <row r="521" customFormat="false" ht="14.25" hidden="false" customHeight="true" outlineLevel="0" collapsed="false">
      <c r="A521" s="511" t="n">
        <v>43801</v>
      </c>
      <c r="B521" s="507" t="n">
        <v>3113.870117</v>
      </c>
      <c r="C521" s="518" t="n">
        <f aca="false">(B521-B520)/B520</f>
        <v>-0.00863102062815444</v>
      </c>
      <c r="D521" s="512" t="n">
        <v>149.611348743566</v>
      </c>
      <c r="E521" s="518" t="n">
        <f aca="false">(D521-D520)/D520</f>
        <v>-0.0141683124682963</v>
      </c>
    </row>
    <row r="522" customFormat="false" ht="14.25" hidden="false" customHeight="true" outlineLevel="0" collapsed="false">
      <c r="A522" s="513" t="n">
        <v>43802</v>
      </c>
      <c r="B522" s="514" t="n">
        <v>3093.199951</v>
      </c>
      <c r="C522" s="515" t="n">
        <f aca="false">(B522-B521)/B521</f>
        <v>-0.00663809511101708</v>
      </c>
      <c r="D522" s="516" t="n">
        <v>147.707018681836</v>
      </c>
      <c r="E522" s="515" t="n">
        <f aca="false">(D522-D521)/D521</f>
        <v>-0.0127285134297802</v>
      </c>
    </row>
    <row r="523" customFormat="false" ht="14.25" hidden="false" customHeight="true" outlineLevel="0" collapsed="false">
      <c r="A523" s="511" t="n">
        <v>43803</v>
      </c>
      <c r="B523" s="507" t="n">
        <v>3112.76001</v>
      </c>
      <c r="C523" s="518" t="n">
        <f aca="false">(B523-B522)/B522</f>
        <v>0.00632356760308248</v>
      </c>
      <c r="D523" s="512" t="n">
        <v>149.210691399923</v>
      </c>
      <c r="E523" s="518" t="n">
        <f aca="false">(D523-D522)/D522</f>
        <v>0.0101801033661505</v>
      </c>
    </row>
    <row r="524" customFormat="false" ht="14.25" hidden="false" customHeight="true" outlineLevel="0" collapsed="false">
      <c r="A524" s="513" t="n">
        <v>43804</v>
      </c>
      <c r="B524" s="514" t="n">
        <v>3117.429932</v>
      </c>
      <c r="C524" s="515" t="n">
        <f aca="false">(B524-B523)/B523</f>
        <v>0.00150025121917447</v>
      </c>
      <c r="D524" s="516" t="n">
        <v>149.587461682496</v>
      </c>
      <c r="E524" s="515" t="n">
        <f aca="false">(D524-D523)/D523</f>
        <v>0.00252508904715926</v>
      </c>
    </row>
    <row r="525" customFormat="false" ht="14.25" hidden="false" customHeight="true" outlineLevel="0" collapsed="false">
      <c r="A525" s="511" t="n">
        <v>43805</v>
      </c>
      <c r="B525" s="507" t="n">
        <v>3145.909912</v>
      </c>
      <c r="C525" s="518" t="n">
        <f aca="false">(B525-B524)/B524</f>
        <v>0.00913572417703984</v>
      </c>
      <c r="D525" s="512" t="n">
        <v>152.110561203795</v>
      </c>
      <c r="E525" s="518" t="n">
        <f aca="false">(D525-D524)/D524</f>
        <v>0.0168670521775036</v>
      </c>
    </row>
    <row r="526" customFormat="false" ht="14.25" hidden="false" customHeight="true" outlineLevel="0" collapsed="false">
      <c r="A526" s="513" t="n">
        <v>43808</v>
      </c>
      <c r="B526" s="514" t="n">
        <v>3135.959961</v>
      </c>
      <c r="C526" s="515" t="n">
        <f aca="false">(B526-B525)/B525</f>
        <v>-0.00316282133892207</v>
      </c>
      <c r="D526" s="516" t="n">
        <v>151.193352657306</v>
      </c>
      <c r="E526" s="515" t="n">
        <f aca="false">(D526-D525)/D525</f>
        <v>-0.00602988076061411</v>
      </c>
    </row>
    <row r="527" customFormat="false" ht="14.25" hidden="false" customHeight="true" outlineLevel="0" collapsed="false">
      <c r="A527" s="511" t="n">
        <v>43809</v>
      </c>
      <c r="B527" s="507" t="n">
        <v>3132.52002</v>
      </c>
      <c r="C527" s="518" t="n">
        <f aca="false">(B527-B526)/B526</f>
        <v>-0.00109693396688112</v>
      </c>
      <c r="D527" s="512" t="n">
        <v>150.881329257507</v>
      </c>
      <c r="E527" s="518" t="n">
        <f aca="false">(D527-D526)/D526</f>
        <v>-0.00206373755403286</v>
      </c>
    </row>
    <row r="528" customFormat="false" ht="14.25" hidden="false" customHeight="true" outlineLevel="0" collapsed="false">
      <c r="A528" s="513" t="n">
        <v>43810</v>
      </c>
      <c r="B528" s="514" t="n">
        <v>3141.629883</v>
      </c>
      <c r="C528" s="515" t="n">
        <f aca="false">(B528-B527)/B527</f>
        <v>0.00290815795009672</v>
      </c>
      <c r="D528" s="516" t="n">
        <v>151.635017480154</v>
      </c>
      <c r="E528" s="515" t="n">
        <f aca="false">(D528-D527)/D527</f>
        <v>0.00499523848547692</v>
      </c>
    </row>
    <row r="529" customFormat="false" ht="14.25" hidden="false" customHeight="true" outlineLevel="0" collapsed="false">
      <c r="A529" s="511" t="n">
        <v>43811</v>
      </c>
      <c r="B529" s="507" t="n">
        <v>3168.570068</v>
      </c>
      <c r="C529" s="518" t="n">
        <f aca="false">(B529-B528)/B528</f>
        <v>0.0085752256005008</v>
      </c>
      <c r="D529" s="512" t="n">
        <v>154.018413638827</v>
      </c>
      <c r="E529" s="518" t="n">
        <f aca="false">(D529-D528)/D528</f>
        <v>0.0157179799117638</v>
      </c>
    </row>
    <row r="530" customFormat="false" ht="14.25" hidden="false" customHeight="true" outlineLevel="0" collapsed="false">
      <c r="A530" s="513" t="n">
        <v>43812</v>
      </c>
      <c r="B530" s="514" t="n">
        <v>3168.800049</v>
      </c>
      <c r="C530" s="515" t="n">
        <f aca="false">(B530-B529)/B529</f>
        <v>7.25819518156076E-005</v>
      </c>
      <c r="D530" s="516" t="n">
        <v>154.038843045321</v>
      </c>
      <c r="E530" s="515" t="n">
        <f aca="false">(D530-D529)/D529</f>
        <v>0.000132642623770178</v>
      </c>
    </row>
    <row r="531" customFormat="false" ht="14.25" hidden="false" customHeight="true" outlineLevel="0" collapsed="false">
      <c r="A531" s="511" t="n">
        <v>43815</v>
      </c>
      <c r="B531" s="507" t="n">
        <v>3191.449951</v>
      </c>
      <c r="C531" s="518" t="n">
        <f aca="false">(B531-B530)/B530</f>
        <v>0.0071477851709665</v>
      </c>
      <c r="D531" s="512" t="n">
        <v>156.103045149882</v>
      </c>
      <c r="E531" s="518" t="n">
        <f aca="false">(D531-D530)/D530</f>
        <v>0.0134005297868518</v>
      </c>
    </row>
    <row r="532" customFormat="false" ht="14.25" hidden="false" customHeight="true" outlineLevel="0" collapsed="false">
      <c r="A532" s="513" t="n">
        <v>43816</v>
      </c>
      <c r="B532" s="514" t="n">
        <v>3192.52002</v>
      </c>
      <c r="C532" s="515" t="n">
        <f aca="false">(B532-B531)/B531</f>
        <v>0.000335292427087752</v>
      </c>
      <c r="D532" s="516" t="n">
        <v>156.193552305171</v>
      </c>
      <c r="E532" s="515" t="n">
        <f aca="false">(D532-D531)/D531</f>
        <v>0.000579791093774649</v>
      </c>
    </row>
    <row r="533" customFormat="false" ht="14.25" hidden="false" customHeight="true" outlineLevel="0" collapsed="false">
      <c r="A533" s="511" t="n">
        <v>43817</v>
      </c>
      <c r="B533" s="507" t="n">
        <v>3191.139893</v>
      </c>
      <c r="C533" s="518" t="n">
        <f aca="false">(B533-B532)/B532</f>
        <v>-0.000432300186484</v>
      </c>
      <c r="D533" s="512" t="n">
        <v>156.071228473017</v>
      </c>
      <c r="E533" s="518" t="n">
        <f aca="false">(D533-D532)/D532</f>
        <v>-0.000783155452633713</v>
      </c>
    </row>
    <row r="534" customFormat="false" ht="14.25" hidden="false" customHeight="true" outlineLevel="0" collapsed="false">
      <c r="A534" s="513" t="n">
        <v>43818</v>
      </c>
      <c r="B534" s="514" t="n">
        <v>3205.370117</v>
      </c>
      <c r="C534" s="515" t="n">
        <f aca="false">(B534-B533)/B533</f>
        <v>0.00445929181331566</v>
      </c>
      <c r="D534" s="516" t="n">
        <v>157.265386877024</v>
      </c>
      <c r="E534" s="515" t="n">
        <f aca="false">(D534-D533)/D533</f>
        <v>0.00765136800479202</v>
      </c>
    </row>
    <row r="535" customFormat="false" ht="14.25" hidden="false" customHeight="true" outlineLevel="0" collapsed="false">
      <c r="A535" s="511" t="n">
        <v>43819</v>
      </c>
      <c r="B535" s="507" t="n">
        <v>3221.219971</v>
      </c>
      <c r="C535" s="518" t="n">
        <f aca="false">(B535-B534)/B534</f>
        <v>0.00494478123319949</v>
      </c>
      <c r="D535" s="512" t="n">
        <v>158.710650248764</v>
      </c>
      <c r="E535" s="518" t="n">
        <f aca="false">(D535-D534)/D534</f>
        <v>0.00918996481323728</v>
      </c>
    </row>
    <row r="536" customFormat="false" ht="14.25" hidden="false" customHeight="true" outlineLevel="0" collapsed="false">
      <c r="A536" s="513" t="n">
        <v>43822</v>
      </c>
      <c r="B536" s="514" t="n">
        <v>3224.01001</v>
      </c>
      <c r="C536" s="515" t="n">
        <f aca="false">(B536-B535)/B535</f>
        <v>0.000866143580729706</v>
      </c>
      <c r="D536" s="516" t="n">
        <v>158.932367324972</v>
      </c>
      <c r="E536" s="515" t="n">
        <f aca="false">(D536-D535)/D535</f>
        <v>0.00139698927488782</v>
      </c>
    </row>
    <row r="537" customFormat="false" ht="14.25" hidden="false" customHeight="true" outlineLevel="0" collapsed="false">
      <c r="A537" s="511" t="n">
        <v>43823</v>
      </c>
      <c r="B537" s="507" t="n">
        <v>3223.379883</v>
      </c>
      <c r="C537" s="518" t="n">
        <f aca="false">(B537-B536)/B536</f>
        <v>-0.000195448214504738</v>
      </c>
      <c r="D537" s="512" t="n">
        <v>158.877124914473</v>
      </c>
      <c r="E537" s="518" t="n">
        <f aca="false">(D537-D536)/D536</f>
        <v>-0.000347584393467506</v>
      </c>
    </row>
    <row r="538" customFormat="false" ht="14.25" hidden="false" customHeight="true" outlineLevel="0" collapsed="false">
      <c r="A538" s="513" t="n">
        <v>43825</v>
      </c>
      <c r="B538" s="514" t="n">
        <v>3239.909912</v>
      </c>
      <c r="C538" s="515" t="n">
        <f aca="false">(B538-B537)/B537</f>
        <v>0.00512816658290227</v>
      </c>
      <c r="D538" s="516" t="n">
        <v>160.369024467952</v>
      </c>
      <c r="E538" s="515" t="n">
        <f aca="false">(D538-D537)/D537</f>
        <v>0.00939027285571859</v>
      </c>
    </row>
    <row r="539" customFormat="false" ht="14.25" hidden="false" customHeight="true" outlineLevel="0" collapsed="false">
      <c r="A539" s="511" t="n">
        <v>43826</v>
      </c>
      <c r="B539" s="507" t="n">
        <v>3240.02002</v>
      </c>
      <c r="C539" s="518" t="n">
        <f aca="false">(B539-B538)/B538</f>
        <v>3.39848955651624E-005</v>
      </c>
      <c r="D539" s="512" t="n">
        <v>160.378150916657</v>
      </c>
      <c r="E539" s="518" t="n">
        <f aca="false">(D539-D538)/D538</f>
        <v>5.69090492088267E-005</v>
      </c>
    </row>
    <row r="540" customFormat="false" ht="14.25" hidden="false" customHeight="true" outlineLevel="0" collapsed="false">
      <c r="A540" s="513" t="n">
        <v>43829</v>
      </c>
      <c r="B540" s="514" t="n">
        <v>3221.290039</v>
      </c>
      <c r="C540" s="515" t="n">
        <f aca="false">(B540-B539)/B539</f>
        <v>-0.00578082261355902</v>
      </c>
      <c r="D540" s="516" t="n">
        <v>158.734349130999</v>
      </c>
      <c r="E540" s="515" t="n">
        <f aca="false">(D540-D539)/D539</f>
        <v>-0.0102495369616291</v>
      </c>
    </row>
    <row r="541" customFormat="false" ht="14.25" hidden="false" customHeight="true" outlineLevel="0" collapsed="false">
      <c r="A541" s="511" t="n">
        <v>43830</v>
      </c>
      <c r="B541" s="507" t="n">
        <v>3230.780029</v>
      </c>
      <c r="C541" s="518" t="n">
        <f aca="false">(B541-B540)/B540</f>
        <v>0.00294602158920966</v>
      </c>
      <c r="D541" s="512" t="n">
        <v>159.567765954691</v>
      </c>
      <c r="E541" s="518" t="n">
        <f aca="false">(D541-D540)/D540</f>
        <v>0.00525038738152515</v>
      </c>
    </row>
    <row r="542" customFormat="false" ht="14.25" hidden="false" customHeight="true" outlineLevel="0" collapsed="false">
      <c r="A542" s="513" t="n">
        <v>43832</v>
      </c>
      <c r="B542" s="514" t="n">
        <v>3257.850098</v>
      </c>
      <c r="C542" s="515" t="n">
        <f aca="false">(B542-B541)/B541</f>
        <v>0.00837880287639969</v>
      </c>
      <c r="D542" s="516" t="n">
        <v>161.958200461811</v>
      </c>
      <c r="E542" s="515" t="n">
        <f aca="false">(D542-D541)/D541</f>
        <v>0.0149806854336656</v>
      </c>
    </row>
    <row r="543" customFormat="false" ht="14.25" hidden="false" customHeight="true" outlineLevel="0" collapsed="false">
      <c r="A543" s="511" t="n">
        <v>43833</v>
      </c>
      <c r="B543" s="507" t="n">
        <v>3234.850098</v>
      </c>
      <c r="C543" s="518" t="n">
        <f aca="false">(B543-B542)/B542</f>
        <v>-0.00705987056130045</v>
      </c>
      <c r="D543" s="512" t="n">
        <v>160.120944877888</v>
      </c>
      <c r="E543" s="518" t="n">
        <f aca="false">(D543-D542)/D542</f>
        <v>-0.0113440108539377</v>
      </c>
    </row>
    <row r="544" customFormat="false" ht="14.25" hidden="false" customHeight="true" outlineLevel="0" collapsed="false">
      <c r="A544" s="513" t="n">
        <v>43836</v>
      </c>
      <c r="B544" s="514" t="n">
        <v>3246.280029</v>
      </c>
      <c r="C544" s="515" t="n">
        <f aca="false">(B544-B543)/B543</f>
        <v>0.00353337269231328</v>
      </c>
      <c r="D544" s="516" t="n">
        <v>161.032114866771</v>
      </c>
      <c r="E544" s="515" t="n">
        <f aca="false">(D544-D543)/D543</f>
        <v>0.00569051094207487</v>
      </c>
    </row>
    <row r="545" customFormat="false" ht="14.25" hidden="false" customHeight="true" outlineLevel="0" collapsed="false">
      <c r="A545" s="511" t="n">
        <v>43837</v>
      </c>
      <c r="B545" s="507" t="n">
        <v>3237.179932</v>
      </c>
      <c r="C545" s="518" t="n">
        <f aca="false">(B545-B544)/B544</f>
        <v>-0.00280323845099809</v>
      </c>
      <c r="D545" s="512" t="n">
        <v>160.270646093117</v>
      </c>
      <c r="E545" s="518" t="n">
        <f aca="false">(D545-D544)/D544</f>
        <v>-0.00472867647726045</v>
      </c>
    </row>
    <row r="546" customFormat="false" ht="14.25" hidden="false" customHeight="true" outlineLevel="0" collapsed="false">
      <c r="A546" s="513" t="n">
        <v>43838</v>
      </c>
      <c r="B546" s="514" t="n">
        <v>3253.050049</v>
      </c>
      <c r="C546" s="515" t="n">
        <f aca="false">(B546-B545)/B545</f>
        <v>0.00490245131051305</v>
      </c>
      <c r="D546" s="516" t="n">
        <v>161.680264315108</v>
      </c>
      <c r="E546" s="515" t="n">
        <f aca="false">(D546-D545)/D545</f>
        <v>0.00879523641011599</v>
      </c>
    </row>
    <row r="547" customFormat="false" ht="14.25" hidden="false" customHeight="true" outlineLevel="0" collapsed="false">
      <c r="A547" s="511" t="n">
        <v>43839</v>
      </c>
      <c r="B547" s="507" t="n">
        <v>3274.699951</v>
      </c>
      <c r="C547" s="518" t="n">
        <f aca="false">(B547-B546)/B546</f>
        <v>0.00665526249946735</v>
      </c>
      <c r="D547" s="512" t="n">
        <v>163.485788827384</v>
      </c>
      <c r="E547" s="518" t="n">
        <f aca="false">(D547-D546)/D546</f>
        <v>0.0111672535910575</v>
      </c>
    </row>
    <row r="548" customFormat="false" ht="14.25" hidden="false" customHeight="true" outlineLevel="0" collapsed="false">
      <c r="A548" s="513" t="n">
        <v>43840</v>
      </c>
      <c r="B548" s="514" t="n">
        <v>3265.350098</v>
      </c>
      <c r="C548" s="515" t="n">
        <f aca="false">(B548-B547)/B547</f>
        <v>-0.0028551785323553</v>
      </c>
      <c r="D548" s="516" t="n">
        <v>162.706491949874</v>
      </c>
      <c r="E548" s="515" t="n">
        <f aca="false">(D548-D547)/D547</f>
        <v>-0.00476675607769691</v>
      </c>
    </row>
    <row r="549" customFormat="false" ht="14.25" hidden="false" customHeight="true" outlineLevel="0" collapsed="false">
      <c r="A549" s="511" t="n">
        <v>43843</v>
      </c>
      <c r="B549" s="507" t="n">
        <v>3288.129883</v>
      </c>
      <c r="C549" s="518" t="n">
        <f aca="false">(B549-B548)/B548</f>
        <v>0.00697621520398459</v>
      </c>
      <c r="D549" s="512" t="n">
        <v>164.686401227004</v>
      </c>
      <c r="E549" s="518" t="n">
        <f aca="false">(D549-D548)/D548</f>
        <v>0.0121685942177401</v>
      </c>
    </row>
    <row r="550" customFormat="false" ht="14.25" hidden="false" customHeight="true" outlineLevel="0" collapsed="false">
      <c r="A550" s="513" t="n">
        <v>43844</v>
      </c>
      <c r="B550" s="514" t="n">
        <v>3283.149902</v>
      </c>
      <c r="C550" s="515" t="n">
        <f aca="false">(B550-B549)/B549</f>
        <v>-0.00151453293428189</v>
      </c>
      <c r="D550" s="516" t="n">
        <v>164.2608702575</v>
      </c>
      <c r="E550" s="515" t="n">
        <f aca="false">(D550-D549)/D549</f>
        <v>-0.00258388650388608</v>
      </c>
    </row>
    <row r="551" customFormat="false" ht="14.25" hidden="false" customHeight="true" outlineLevel="0" collapsed="false">
      <c r="A551" s="511" t="n">
        <v>43845</v>
      </c>
      <c r="B551" s="507" t="n">
        <v>3289.290039</v>
      </c>
      <c r="C551" s="518" t="n">
        <f aca="false">(B551-B550)/B550</f>
        <v>0.00187019697037271</v>
      </c>
      <c r="D551" s="512" t="n">
        <v>164.816069793645</v>
      </c>
      <c r="E551" s="518" t="n">
        <f aca="false">(D551-D550)/D550</f>
        <v>0.00337998657425024</v>
      </c>
    </row>
    <row r="552" customFormat="false" ht="14.25" hidden="false" customHeight="true" outlineLevel="0" collapsed="false">
      <c r="A552" s="513" t="n">
        <v>43846</v>
      </c>
      <c r="B552" s="514" t="n">
        <v>3316.810059</v>
      </c>
      <c r="C552" s="515" t="n">
        <f aca="false">(B552-B551)/B551</f>
        <v>0.00836655316913509</v>
      </c>
      <c r="D552" s="516" t="n">
        <v>167.122775114287</v>
      </c>
      <c r="E552" s="515" t="n">
        <f aca="false">(D552-D551)/D551</f>
        <v>0.0139956335782675</v>
      </c>
    </row>
    <row r="553" customFormat="false" ht="14.25" hidden="false" customHeight="true" outlineLevel="0" collapsed="false">
      <c r="A553" s="511" t="n">
        <v>43847</v>
      </c>
      <c r="B553" s="507" t="n">
        <v>3329.620117</v>
      </c>
      <c r="C553" s="518" t="n">
        <f aca="false">(B553-B552)/B552</f>
        <v>0.00386216206901585</v>
      </c>
      <c r="D553" s="512" t="n">
        <v>168.256055401098</v>
      </c>
      <c r="E553" s="518" t="n">
        <f aca="false">(D553-D552)/D552</f>
        <v>0.00678112415280318</v>
      </c>
    </row>
    <row r="554" customFormat="false" ht="14.25" hidden="false" customHeight="true" outlineLevel="0" collapsed="false">
      <c r="A554" s="513" t="n">
        <v>43851</v>
      </c>
      <c r="B554" s="514" t="n">
        <v>3320.790039</v>
      </c>
      <c r="C554" s="515" t="n">
        <f aca="false">(B554-B553)/B553</f>
        <v>-0.00265197760997308</v>
      </c>
      <c r="D554" s="516" t="n">
        <v>167.493185477323</v>
      </c>
      <c r="E554" s="515" t="n">
        <f aca="false">(D554-D553)/D553</f>
        <v>-0.00453398198333138</v>
      </c>
    </row>
    <row r="555" customFormat="false" ht="14.25" hidden="false" customHeight="true" outlineLevel="0" collapsed="false">
      <c r="A555" s="511" t="n">
        <v>43852</v>
      </c>
      <c r="B555" s="507" t="n">
        <v>3321.75</v>
      </c>
      <c r="C555" s="518" t="n">
        <f aca="false">(B555-B554)/B554</f>
        <v>0.000289076089944276</v>
      </c>
      <c r="D555" s="512" t="n">
        <v>167.581215832911</v>
      </c>
      <c r="E555" s="518" t="n">
        <f aca="false">(D555-D554)/D554</f>
        <v>0.000525575744094422</v>
      </c>
    </row>
    <row r="556" customFormat="false" ht="14.25" hidden="false" customHeight="true" outlineLevel="0" collapsed="false">
      <c r="A556" s="513" t="n">
        <v>43853</v>
      </c>
      <c r="B556" s="514" t="n">
        <v>3325.540039</v>
      </c>
      <c r="C556" s="515" t="n">
        <f aca="false">(B556-B555)/B555</f>
        <v>0.00114097659366297</v>
      </c>
      <c r="D556" s="516" t="n">
        <v>167.900758843298</v>
      </c>
      <c r="E556" s="515" t="n">
        <f aca="false">(D556-D555)/D555</f>
        <v>0.00190679491611764</v>
      </c>
    </row>
    <row r="557" customFormat="false" ht="14.25" hidden="false" customHeight="true" outlineLevel="0" collapsed="false">
      <c r="A557" s="511" t="n">
        <v>43854</v>
      </c>
      <c r="B557" s="507" t="n">
        <v>3295.469971</v>
      </c>
      <c r="C557" s="518" t="n">
        <f aca="false">(B557-B556)/B556</f>
        <v>-0.00904216086631215</v>
      </c>
      <c r="D557" s="512" t="n">
        <v>165.227543531115</v>
      </c>
      <c r="E557" s="518" t="n">
        <f aca="false">(D557-D556)/D556</f>
        <v>-0.0159214010145</v>
      </c>
    </row>
    <row r="558" customFormat="false" ht="14.25" hidden="false" customHeight="true" outlineLevel="0" collapsed="false">
      <c r="A558" s="513" t="n">
        <v>43857</v>
      </c>
      <c r="B558" s="514" t="n">
        <v>3243.629883</v>
      </c>
      <c r="C558" s="515" t="n">
        <f aca="false">(B558-B557)/B557</f>
        <v>-0.0157307116909547</v>
      </c>
      <c r="D558" s="516" t="n">
        <v>160.833583670842</v>
      </c>
      <c r="E558" s="515" t="n">
        <f aca="false">(D558-D557)/D557</f>
        <v>-0.0265933861048147</v>
      </c>
    </row>
    <row r="559" customFormat="false" ht="14.25" hidden="false" customHeight="true" outlineLevel="0" collapsed="false">
      <c r="A559" s="511" t="n">
        <v>43858</v>
      </c>
      <c r="B559" s="507" t="n">
        <v>3276.23999</v>
      </c>
      <c r="C559" s="518" t="n">
        <f aca="false">(B559-B558)/B558</f>
        <v>0.0100535844644023</v>
      </c>
      <c r="D559" s="512" t="n">
        <v>163.858868688944</v>
      </c>
      <c r="E559" s="518" t="n">
        <f aca="false">(D559-D558)/D558</f>
        <v>0.018810033010851</v>
      </c>
    </row>
    <row r="560" customFormat="false" ht="14.25" hidden="false" customHeight="true" outlineLevel="0" collapsed="false">
      <c r="A560" s="513" t="n">
        <v>43859</v>
      </c>
      <c r="B560" s="514" t="n">
        <v>3273.399902</v>
      </c>
      <c r="C560" s="515" t="n">
        <f aca="false">(B560-B559)/B559</f>
        <v>-0.000866874224314661</v>
      </c>
      <c r="D560" s="516" t="n">
        <v>163.608995695732</v>
      </c>
      <c r="E560" s="515" t="n">
        <f aca="false">(D560-D559)/D559</f>
        <v>-0.00152492809947524</v>
      </c>
    </row>
    <row r="561" customFormat="false" ht="14.25" hidden="false" customHeight="true" outlineLevel="0" collapsed="false">
      <c r="A561" s="511" t="n">
        <v>43860</v>
      </c>
      <c r="B561" s="507" t="n">
        <v>3283.659912</v>
      </c>
      <c r="C561" s="518" t="n">
        <f aca="false">(B561-B560)/B560</f>
        <v>0.00313435886453447</v>
      </c>
      <c r="D561" s="512" t="n">
        <v>164.544434964202</v>
      </c>
      <c r="E561" s="518" t="n">
        <f aca="false">(D561-D560)/D560</f>
        <v>0.00571752955570764</v>
      </c>
    </row>
    <row r="562" customFormat="false" ht="14.25" hidden="false" customHeight="true" outlineLevel="0" collapsed="false">
      <c r="A562" s="513" t="n">
        <v>43861</v>
      </c>
      <c r="B562" s="514" t="n">
        <v>3225.52002</v>
      </c>
      <c r="C562" s="515" t="n">
        <f aca="false">(B562-B561)/B561</f>
        <v>-0.0177058202000549</v>
      </c>
      <c r="D562" s="516" t="n">
        <v>159.779623215135</v>
      </c>
      <c r="E562" s="515" t="n">
        <f aca="false">(D562-D561)/D561</f>
        <v>-0.0289575989008904</v>
      </c>
    </row>
    <row r="563" customFormat="false" ht="14.25" hidden="false" customHeight="true" outlineLevel="0" collapsed="false">
      <c r="A563" s="511" t="n">
        <v>43864</v>
      </c>
      <c r="B563" s="507" t="n">
        <v>3248.919922</v>
      </c>
      <c r="C563" s="518" t="n">
        <f aca="false">(B563-B562)/B562</f>
        <v>0.00725461378472551</v>
      </c>
      <c r="D563" s="512" t="n">
        <v>161.854498715659</v>
      </c>
      <c r="E563" s="518" t="n">
        <f aca="false">(D563-D562)/D562</f>
        <v>0.0129858580135108</v>
      </c>
    </row>
    <row r="564" customFormat="false" ht="14.25" hidden="false" customHeight="true" outlineLevel="0" collapsed="false">
      <c r="A564" s="513" t="n">
        <v>43865</v>
      </c>
      <c r="B564" s="514" t="n">
        <v>3297.590088</v>
      </c>
      <c r="C564" s="515" t="n">
        <f aca="false">(B564-B563)/B563</f>
        <v>0.0149804141586965</v>
      </c>
      <c r="D564" s="516" t="n">
        <v>166.458775871645</v>
      </c>
      <c r="E564" s="515" t="n">
        <f aca="false">(D564-D563)/D563</f>
        <v>0.0284470137841189</v>
      </c>
    </row>
    <row r="565" customFormat="false" ht="14.25" hidden="false" customHeight="true" outlineLevel="0" collapsed="false">
      <c r="A565" s="511" t="n">
        <v>43866</v>
      </c>
      <c r="B565" s="507" t="n">
        <v>3334.689941</v>
      </c>
      <c r="C565" s="518" t="n">
        <f aca="false">(B565-B564)/B564</f>
        <v>0.0112505957411163</v>
      </c>
      <c r="D565" s="512" t="n">
        <v>169.751311975458</v>
      </c>
      <c r="E565" s="518" t="n">
        <f aca="false">(D565-D564)/D564</f>
        <v>0.0197798889639309</v>
      </c>
    </row>
    <row r="566" customFormat="false" ht="14.25" hidden="false" customHeight="true" outlineLevel="0" collapsed="false">
      <c r="A566" s="513" t="n">
        <v>43867</v>
      </c>
      <c r="B566" s="514" t="n">
        <v>3345.780029</v>
      </c>
      <c r="C566" s="515" t="n">
        <f aca="false">(B566-B565)/B565</f>
        <v>0.00332567290999002</v>
      </c>
      <c r="D566" s="516" t="n">
        <v>170.69248862414</v>
      </c>
      <c r="E566" s="515" t="n">
        <f aca="false">(D566-D565)/D565</f>
        <v>0.00554444403244471</v>
      </c>
    </row>
    <row r="567" customFormat="false" ht="14.25" hidden="false" customHeight="true" outlineLevel="0" collapsed="false">
      <c r="A567" s="511" t="n">
        <v>43868</v>
      </c>
      <c r="B567" s="507" t="n">
        <v>3327.709961</v>
      </c>
      <c r="C567" s="518" t="n">
        <f aca="false">(B567-B566)/B566</f>
        <v>-0.00540085356579788</v>
      </c>
      <c r="D567" s="512" t="n">
        <v>168.978163225327</v>
      </c>
      <c r="E567" s="518" t="n">
        <f aca="false">(D567-D566)/D566</f>
        <v>-0.0100433558185908</v>
      </c>
    </row>
    <row r="568" customFormat="false" ht="14.25" hidden="false" customHeight="true" outlineLevel="0" collapsed="false">
      <c r="A568" s="513" t="n">
        <v>43871</v>
      </c>
      <c r="B568" s="514" t="n">
        <v>3352.090088</v>
      </c>
      <c r="C568" s="515" t="n">
        <f aca="false">(B568-B567)/B567</f>
        <v>0.00732639781883921</v>
      </c>
      <c r="D568" s="516" t="n">
        <v>171.312043524753</v>
      </c>
      <c r="E568" s="515" t="n">
        <f aca="false">(D568-D567)/D567</f>
        <v>0.0138117272366953</v>
      </c>
    </row>
    <row r="569" customFormat="false" ht="14.25" hidden="false" customHeight="true" outlineLevel="0" collapsed="false">
      <c r="A569" s="511" t="n">
        <v>43872</v>
      </c>
      <c r="B569" s="507" t="n">
        <v>3357.75</v>
      </c>
      <c r="C569" s="518" t="n">
        <f aca="false">(B569-B568)/B568</f>
        <v>0.00168847252055121</v>
      </c>
      <c r="D569" s="512" t="n">
        <v>171.826691130988</v>
      </c>
      <c r="E569" s="518" t="n">
        <f aca="false">(D569-D568)/D568</f>
        <v>0.00300415309773968</v>
      </c>
    </row>
    <row r="570" customFormat="false" ht="14.25" hidden="false" customHeight="true" outlineLevel="0" collapsed="false">
      <c r="A570" s="513" t="n">
        <v>43873</v>
      </c>
      <c r="B570" s="514" t="n">
        <v>3379.449951</v>
      </c>
      <c r="C570" s="515" t="n">
        <f aca="false">(B570-B569)/B569</f>
        <v>0.00646264641501007</v>
      </c>
      <c r="D570" s="516" t="n">
        <v>173.692088059601</v>
      </c>
      <c r="E570" s="515" t="n">
        <f aca="false">(D570-D569)/D569</f>
        <v>0.0108562698631667</v>
      </c>
    </row>
    <row r="571" customFormat="false" ht="14.25" hidden="false" customHeight="true" outlineLevel="0" collapsed="false">
      <c r="A571" s="511" t="n">
        <v>43874</v>
      </c>
      <c r="B571" s="507" t="n">
        <v>3373.939941</v>
      </c>
      <c r="C571" s="518" t="n">
        <f aca="false">(B571-B570)/B570</f>
        <v>-0.00163044580623824</v>
      </c>
      <c r="D571" s="512" t="n">
        <v>173.226639068526</v>
      </c>
      <c r="E571" s="518" t="n">
        <f aca="false">(D571-D570)/D570</f>
        <v>-0.0026797362866366</v>
      </c>
    </row>
    <row r="572" customFormat="false" ht="14.25" hidden="false" customHeight="true" outlineLevel="0" collapsed="false">
      <c r="A572" s="513" t="n">
        <v>43875</v>
      </c>
      <c r="B572" s="514" t="n">
        <v>3380.159912</v>
      </c>
      <c r="C572" s="515" t="n">
        <f aca="false">(B572-B571)/B571</f>
        <v>0.00184353340864641</v>
      </c>
      <c r="D572" s="516" t="n">
        <v>173.773654446227</v>
      </c>
      <c r="E572" s="515" t="n">
        <f aca="false">(D572-D571)/D571</f>
        <v>0.00315780171365335</v>
      </c>
    </row>
    <row r="573" customFormat="false" ht="14.25" hidden="false" customHeight="true" outlineLevel="0" collapsed="false">
      <c r="A573" s="511" t="n">
        <v>43879</v>
      </c>
      <c r="B573" s="507" t="n">
        <v>3370.290039</v>
      </c>
      <c r="C573" s="518" t="n">
        <f aca="false">(B573-B572)/B572</f>
        <v>-0.00291994262311697</v>
      </c>
      <c r="D573" s="512" t="n">
        <v>172.837805186595</v>
      </c>
      <c r="E573" s="518" t="n">
        <f aca="false">(D573-D572)/D572</f>
        <v>-0.00538544961038145</v>
      </c>
    </row>
    <row r="574" customFormat="false" ht="14.25" hidden="false" customHeight="true" outlineLevel="0" collapsed="false">
      <c r="A574" s="513" t="n">
        <v>43880</v>
      </c>
      <c r="B574" s="514" t="n">
        <v>3386.149902</v>
      </c>
      <c r="C574" s="515" t="n">
        <f aca="false">(B574-B573)/B573</f>
        <v>0.00470578579780211</v>
      </c>
      <c r="D574" s="516" t="n">
        <v>174.22490097811</v>
      </c>
      <c r="E574" s="515" t="n">
        <f aca="false">(D574-D573)/D573</f>
        <v>0.00802541891814413</v>
      </c>
    </row>
    <row r="575" customFormat="false" ht="14.25" hidden="false" customHeight="true" outlineLevel="0" collapsed="false">
      <c r="A575" s="511" t="n">
        <v>43881</v>
      </c>
      <c r="B575" s="507" t="n">
        <v>3373.22998</v>
      </c>
      <c r="C575" s="518" t="n">
        <f aca="false">(B575-B574)/B574</f>
        <v>-0.00381551980093055</v>
      </c>
      <c r="D575" s="512" t="n">
        <v>173.108187757772</v>
      </c>
      <c r="E575" s="518" t="n">
        <f aca="false">(D575-D574)/D574</f>
        <v>-0.00640960743308635</v>
      </c>
    </row>
    <row r="576" customFormat="false" ht="14.25" hidden="false" customHeight="true" outlineLevel="0" collapsed="false">
      <c r="A576" s="513" t="n">
        <v>43882</v>
      </c>
      <c r="B576" s="514" t="n">
        <v>3337.75</v>
      </c>
      <c r="C576" s="515" t="n">
        <f aca="false">(B576-B575)/B575</f>
        <v>-0.0105181028896227</v>
      </c>
      <c r="D576" s="516" t="n">
        <v>169.843539696675</v>
      </c>
      <c r="E576" s="515" t="n">
        <f aca="false">(D576-D575)/D575</f>
        <v>-0.0188590043219975</v>
      </c>
    </row>
    <row r="577" customFormat="false" ht="14.25" hidden="false" customHeight="true" outlineLevel="0" collapsed="false">
      <c r="A577" s="511" t="n">
        <v>43885</v>
      </c>
      <c r="B577" s="507" t="n">
        <v>3225.889893</v>
      </c>
      <c r="C577" s="518" t="n">
        <f aca="false">(B577-B576)/B576</f>
        <v>-0.0335136265448281</v>
      </c>
      <c r="D577" s="512" t="n">
        <v>159.428037651041</v>
      </c>
      <c r="E577" s="518" t="n">
        <f aca="false">(D577-D576)/D576</f>
        <v>-0.0613240990162778</v>
      </c>
    </row>
    <row r="578" customFormat="false" ht="14.25" hidden="false" customHeight="true" outlineLevel="0" collapsed="false">
      <c r="A578" s="513" t="n">
        <v>43886</v>
      </c>
      <c r="B578" s="514" t="n">
        <v>3128.209961</v>
      </c>
      <c r="C578" s="515" t="n">
        <f aca="false">(B578-B577)/B577</f>
        <v>-0.0302799956724995</v>
      </c>
      <c r="D578" s="516" t="n">
        <v>151.56311693048</v>
      </c>
      <c r="E578" s="515" t="n">
        <f aca="false">(D578-D577)/D577</f>
        <v>-0.0493321051707096</v>
      </c>
    </row>
    <row r="579" customFormat="false" ht="14.25" hidden="false" customHeight="true" outlineLevel="0" collapsed="false">
      <c r="A579" s="511" t="n">
        <v>43887</v>
      </c>
      <c r="B579" s="507" t="n">
        <v>3116.389893</v>
      </c>
      <c r="C579" s="518" t="n">
        <f aca="false">(B579-B578)/B578</f>
        <v>-0.00377854049036448</v>
      </c>
      <c r="D579" s="512" t="n">
        <v>150.523671528983</v>
      </c>
      <c r="E579" s="518" t="n">
        <f aca="false">(D579-D578)/D578</f>
        <v>-0.00685816854752192</v>
      </c>
    </row>
    <row r="580" customFormat="false" ht="14.25" hidden="false" customHeight="true" outlineLevel="0" collapsed="false">
      <c r="A580" s="513" t="n">
        <v>43888</v>
      </c>
      <c r="B580" s="514" t="n">
        <v>2978.76001</v>
      </c>
      <c r="C580" s="515" t="n">
        <f aca="false">(B580-B579)/B579</f>
        <v>-0.0441632426382664</v>
      </c>
      <c r="D580" s="516" t="n">
        <v>139.026898639798</v>
      </c>
      <c r="E580" s="515" t="n">
        <f aca="false">(D580-D579)/D579</f>
        <v>-0.0763785042738033</v>
      </c>
    </row>
    <row r="581" customFormat="false" ht="14.25" hidden="false" customHeight="true" outlineLevel="0" collapsed="false">
      <c r="A581" s="511" t="n">
        <v>43889</v>
      </c>
      <c r="B581" s="507" t="n">
        <v>2954.219971</v>
      </c>
      <c r="C581" s="518" t="n">
        <f aca="false">(B581-B580)/B580</f>
        <v>-0.0082383404227318</v>
      </c>
      <c r="D581" s="512" t="n">
        <v>137.097954037704</v>
      </c>
      <c r="E581" s="518" t="n">
        <f aca="false">(D581-D580)/D580</f>
        <v>-0.0138746143441756</v>
      </c>
    </row>
    <row r="582" customFormat="false" ht="14.25" hidden="false" customHeight="true" outlineLevel="0" collapsed="false">
      <c r="A582" s="513" t="n">
        <v>43892</v>
      </c>
      <c r="B582" s="514" t="n">
        <v>3090.22998</v>
      </c>
      <c r="C582" s="515" t="n">
        <f aca="false">(B582-B581)/B581</f>
        <v>0.0460392287423204</v>
      </c>
      <c r="D582" s="516" t="n">
        <v>148.977217558167</v>
      </c>
      <c r="E582" s="515" t="n">
        <f aca="false">(D582-D581)/D581</f>
        <v>0.0866479999927354</v>
      </c>
    </row>
    <row r="583" customFormat="false" ht="14.25" hidden="false" customHeight="true" outlineLevel="0" collapsed="false">
      <c r="A583" s="511" t="n">
        <v>43893</v>
      </c>
      <c r="B583" s="507" t="n">
        <v>3003.370117</v>
      </c>
      <c r="C583" s="518" t="n">
        <f aca="false">(B583-B582)/B582</f>
        <v>-0.0281078960343269</v>
      </c>
      <c r="D583" s="512" t="n">
        <v>141.885273107669</v>
      </c>
      <c r="E583" s="518" t="n">
        <f aca="false">(D583-D582)/D582</f>
        <v>-0.0476042214154591</v>
      </c>
    </row>
    <row r="584" customFormat="false" ht="14.25" hidden="false" customHeight="true" outlineLevel="0" collapsed="false">
      <c r="A584" s="513" t="n">
        <v>43894</v>
      </c>
      <c r="B584" s="514" t="n">
        <v>3130.120117</v>
      </c>
      <c r="C584" s="515" t="n">
        <f aca="false">(B584-B583)/B583</f>
        <v>0.042202590777126</v>
      </c>
      <c r="D584" s="516" t="n">
        <v>152.033292364623</v>
      </c>
      <c r="E584" s="515" t="n">
        <f aca="false">(D584-D583)/D583</f>
        <v>0.0715227101071527</v>
      </c>
    </row>
    <row r="585" customFormat="false" ht="14.25" hidden="false" customHeight="true" outlineLevel="0" collapsed="false">
      <c r="A585" s="511" t="n">
        <v>43895</v>
      </c>
      <c r="B585" s="507" t="n">
        <v>3023.939941</v>
      </c>
      <c r="C585" s="518" t="n">
        <f aca="false">(B585-B584)/B584</f>
        <v>-0.0339220771188059</v>
      </c>
      <c r="D585" s="512" t="n">
        <v>142.583448810785</v>
      </c>
      <c r="E585" s="518" t="n">
        <f aca="false">(D585-D584)/D584</f>
        <v>-0.0621564093420693</v>
      </c>
    </row>
    <row r="586" customFormat="false" ht="14.25" hidden="false" customHeight="true" outlineLevel="0" collapsed="false">
      <c r="A586" s="513" t="n">
        <v>43896</v>
      </c>
      <c r="B586" s="514" t="n">
        <v>2972.370117</v>
      </c>
      <c r="C586" s="515" t="n">
        <f aca="false">(B586-B585)/B585</f>
        <v>-0.0170538519303218</v>
      </c>
      <c r="D586" s="516" t="n">
        <v>138.428680610022</v>
      </c>
      <c r="E586" s="515" t="n">
        <f aca="false">(D586-D585)/D585</f>
        <v>-0.0291392039918782</v>
      </c>
    </row>
    <row r="587" customFormat="false" ht="14.25" hidden="false" customHeight="true" outlineLevel="0" collapsed="false">
      <c r="A587" s="511" t="n">
        <v>43899</v>
      </c>
      <c r="B587" s="507" t="n">
        <v>2746.560059</v>
      </c>
      <c r="C587" s="518" t="n">
        <f aca="false">(B587-B586)/B586</f>
        <v>-0.0759696972824869</v>
      </c>
      <c r="D587" s="512" t="n">
        <v>120.582720369713</v>
      </c>
      <c r="E587" s="518" t="n">
        <f aca="false">(D587-D586)/D586</f>
        <v>-0.128918083750175</v>
      </c>
    </row>
    <row r="588" customFormat="false" ht="14.25" hidden="false" customHeight="true" outlineLevel="0" collapsed="false">
      <c r="A588" s="513" t="n">
        <v>43900</v>
      </c>
      <c r="B588" s="514" t="n">
        <v>2882.22998</v>
      </c>
      <c r="C588" s="515" t="n">
        <f aca="false">(B588-B587)/B587</f>
        <v>0.0493963059556748</v>
      </c>
      <c r="D588" s="516" t="n">
        <v>130.422262191351</v>
      </c>
      <c r="E588" s="515" t="n">
        <f aca="false">(D588-D587)/D587</f>
        <v>0.0815999323242123</v>
      </c>
    </row>
    <row r="589" customFormat="false" ht="14.25" hidden="false" customHeight="true" outlineLevel="0" collapsed="false">
      <c r="A589" s="511" t="n">
        <v>43901</v>
      </c>
      <c r="B589" s="507" t="n">
        <v>2741.379883</v>
      </c>
      <c r="C589" s="518" t="n">
        <f aca="false">(B589-B588)/B588</f>
        <v>-0.0488684449115334</v>
      </c>
      <c r="D589" s="512" t="n">
        <v>119.511291224748</v>
      </c>
      <c r="E589" s="518" t="n">
        <f aca="false">(D589-D588)/D588</f>
        <v>-0.0836588078084</v>
      </c>
    </row>
    <row r="590" customFormat="false" ht="14.25" hidden="false" customHeight="true" outlineLevel="0" collapsed="false">
      <c r="A590" s="513" t="n">
        <v>43902</v>
      </c>
      <c r="B590" s="514" t="n">
        <v>2480.639893</v>
      </c>
      <c r="C590" s="515" t="n">
        <f aca="false">(B590-B589)/B589</f>
        <v>-0.095112680886336</v>
      </c>
      <c r="D590" s="516" t="n">
        <v>100.331516328429</v>
      </c>
      <c r="E590" s="515" t="n">
        <f aca="false">(D590-D589)/D589</f>
        <v>-0.160485044549057</v>
      </c>
    </row>
    <row r="591" customFormat="false" ht="14.25" hidden="false" customHeight="true" outlineLevel="0" collapsed="false">
      <c r="A591" s="511" t="n">
        <v>43903</v>
      </c>
      <c r="B591" s="507" t="n">
        <v>2711.02002</v>
      </c>
      <c r="C591" s="518" t="n">
        <f aca="false">(B591-B590)/B590</f>
        <v>0.0928712497328204</v>
      </c>
      <c r="D591" s="512" t="n">
        <v>116.045776736808</v>
      </c>
      <c r="E591" s="518" t="n">
        <f aca="false">(D591-D590)/D590</f>
        <v>0.15662337203137</v>
      </c>
    </row>
    <row r="592" customFormat="false" ht="14.25" hidden="false" customHeight="true" outlineLevel="0" collapsed="false">
      <c r="A592" s="513" t="n">
        <v>43906</v>
      </c>
      <c r="B592" s="514" t="n">
        <v>2386.129883</v>
      </c>
      <c r="C592" s="515" t="n">
        <f aca="false">(B592-B591)/B591</f>
        <v>-0.119840552486957</v>
      </c>
      <c r="D592" s="516" t="n">
        <v>90.158874408319</v>
      </c>
      <c r="E592" s="515" t="n">
        <f aca="false">(D592-D591)/D591</f>
        <v>-0.223074919712077</v>
      </c>
    </row>
    <row r="593" customFormat="false" ht="14.25" hidden="false" customHeight="true" outlineLevel="0" collapsed="false">
      <c r="A593" s="511" t="n">
        <v>43907</v>
      </c>
      <c r="B593" s="507" t="n">
        <v>2529.189941</v>
      </c>
      <c r="C593" s="518" t="n">
        <f aca="false">(B593-B592)/B592</f>
        <v>0.0599548494904793</v>
      </c>
      <c r="D593" s="512" t="n">
        <v>98.8462854789479</v>
      </c>
      <c r="E593" s="518" t="n">
        <f aca="false">(D593-D592)/D592</f>
        <v>0.0963566939765091</v>
      </c>
    </row>
    <row r="594" customFormat="false" ht="14.25" hidden="false" customHeight="true" outlineLevel="0" collapsed="false">
      <c r="A594" s="513" t="n">
        <v>43908</v>
      </c>
      <c r="B594" s="514" t="n">
        <v>2398.100098</v>
      </c>
      <c r="C594" s="515" t="n">
        <f aca="false">(B594-B593)/B593</f>
        <v>-0.0518307624409456</v>
      </c>
      <c r="D594" s="516" t="n">
        <v>89.6262832713202</v>
      </c>
      <c r="E594" s="515" t="n">
        <f aca="false">(D594-D593)/D593</f>
        <v>-0.0932761627101441</v>
      </c>
    </row>
    <row r="595" customFormat="false" ht="14.25" hidden="false" customHeight="true" outlineLevel="0" collapsed="false">
      <c r="A595" s="511" t="n">
        <v>43909</v>
      </c>
      <c r="B595" s="507" t="n">
        <v>2409.389893</v>
      </c>
      <c r="C595" s="518" t="n">
        <f aca="false">(B595-B594)/B594</f>
        <v>0.00470780807248862</v>
      </c>
      <c r="D595" s="512" t="n">
        <v>90.4162553322946</v>
      </c>
      <c r="E595" s="518" t="n">
        <f aca="false">(D595-D594)/D594</f>
        <v>0.00881406694711369</v>
      </c>
    </row>
    <row r="596" customFormat="false" ht="14.25" hidden="false" customHeight="true" outlineLevel="0" collapsed="false">
      <c r="A596" s="513" t="n">
        <v>43910</v>
      </c>
      <c r="B596" s="514" t="n">
        <v>2304.919922</v>
      </c>
      <c r="C596" s="515" t="n">
        <f aca="false">(B596-B595)/B595</f>
        <v>-0.0433595124240857</v>
      </c>
      <c r="D596" s="516" t="n">
        <v>83.894701854781</v>
      </c>
      <c r="E596" s="515" t="n">
        <f aca="false">(D596-D595)/D595</f>
        <v>-0.072128108530328</v>
      </c>
    </row>
    <row r="597" customFormat="false" ht="14.25" hidden="false" customHeight="true" outlineLevel="0" collapsed="false">
      <c r="A597" s="511" t="n">
        <v>43913</v>
      </c>
      <c r="B597" s="507" t="n">
        <v>2237.399902</v>
      </c>
      <c r="C597" s="518" t="n">
        <f aca="false">(B597-B596)/B596</f>
        <v>-0.029293868023585</v>
      </c>
      <c r="D597" s="512" t="n">
        <v>79.3507472226502</v>
      </c>
      <c r="E597" s="518" t="n">
        <f aca="false">(D597-D596)/D596</f>
        <v>-0.0541625934852983</v>
      </c>
    </row>
    <row r="598" customFormat="false" ht="14.25" hidden="false" customHeight="true" outlineLevel="0" collapsed="false">
      <c r="A598" s="513" t="n">
        <v>43914</v>
      </c>
      <c r="B598" s="514" t="n">
        <v>2447.330078</v>
      </c>
      <c r="C598" s="515" t="n">
        <f aca="false">(B598-B597)/B597</f>
        <v>0.0938277398744607</v>
      </c>
      <c r="D598" s="516" t="n">
        <v>91.7976553983073</v>
      </c>
      <c r="E598" s="515" t="n">
        <f aca="false">(D598-D597)/D597</f>
        <v>0.156859369461668</v>
      </c>
    </row>
    <row r="599" customFormat="false" ht="14.25" hidden="false" customHeight="true" outlineLevel="0" collapsed="false">
      <c r="A599" s="511" t="n">
        <v>43915</v>
      </c>
      <c r="B599" s="507" t="n">
        <v>2475.560059</v>
      </c>
      <c r="C599" s="518" t="n">
        <f aca="false">(B599-B598)/B598</f>
        <v>0.0115350116658845</v>
      </c>
      <c r="D599" s="512" t="n">
        <v>93.6753502062743</v>
      </c>
      <c r="E599" s="518" t="n">
        <f aca="false">(D599-D598)/D598</f>
        <v>0.0204547142279369</v>
      </c>
    </row>
    <row r="600" customFormat="false" ht="14.25" hidden="false" customHeight="true" outlineLevel="0" collapsed="false">
      <c r="A600" s="513" t="n">
        <v>43916</v>
      </c>
      <c r="B600" s="514" t="n">
        <v>2630.070068</v>
      </c>
      <c r="C600" s="515" t="n">
        <f aca="false">(B600-B599)/B599</f>
        <v>0.0624141629843609</v>
      </c>
      <c r="D600" s="516" t="n">
        <v>103.164297148979</v>
      </c>
      <c r="E600" s="515" t="n">
        <f aca="false">(D600-D599)/D599</f>
        <v>0.101296092534588</v>
      </c>
    </row>
    <row r="601" customFormat="false" ht="14.25" hidden="false" customHeight="true" outlineLevel="0" collapsed="false">
      <c r="A601" s="511" t="n">
        <v>43917</v>
      </c>
      <c r="B601" s="507" t="n">
        <v>2541.469971</v>
      </c>
      <c r="C601" s="518" t="n">
        <f aca="false">(B601-B600)/B600</f>
        <v>-0.0336873523173376</v>
      </c>
      <c r="D601" s="512" t="n">
        <v>97.4902861816334</v>
      </c>
      <c r="E601" s="518" t="n">
        <f aca="false">(D601-D600)/D600</f>
        <v>-0.0549997540249007</v>
      </c>
    </row>
    <row r="602" customFormat="false" ht="14.25" hidden="false" customHeight="true" outlineLevel="0" collapsed="false">
      <c r="A602" s="513" t="n">
        <v>43920</v>
      </c>
      <c r="B602" s="514" t="n">
        <v>2626.649902</v>
      </c>
      <c r="C602" s="515" t="n">
        <f aca="false">(B602-B601)/B601</f>
        <v>0.0335160092277164</v>
      </c>
      <c r="D602" s="516" t="n">
        <v>103.584917194363</v>
      </c>
      <c r="E602" s="515" t="n">
        <f aca="false">(D602-D601)/D601</f>
        <v>0.0625152643554123</v>
      </c>
    </row>
    <row r="603" customFormat="false" ht="14.25" hidden="false" customHeight="true" outlineLevel="0" collapsed="false">
      <c r="A603" s="511" t="n">
        <v>43921</v>
      </c>
      <c r="B603" s="507" t="n">
        <v>2584.590088</v>
      </c>
      <c r="C603" s="518" t="n">
        <f aca="false">(B603-B602)/B602</f>
        <v>-0.0160127217441406</v>
      </c>
      <c r="D603" s="512" t="n">
        <v>100.697058346215</v>
      </c>
      <c r="E603" s="518" t="n">
        <f aca="false">(D603-D602)/D602</f>
        <v>-0.0278791442457721</v>
      </c>
    </row>
    <row r="604" customFormat="false" ht="14.25" hidden="false" customHeight="true" outlineLevel="0" collapsed="false">
      <c r="A604" s="513" t="n">
        <v>43922</v>
      </c>
      <c r="B604" s="514" t="n">
        <v>2470.5</v>
      </c>
      <c r="C604" s="515" t="n">
        <f aca="false">(B604-B603)/B603</f>
        <v>-0.0441424303721155</v>
      </c>
      <c r="D604" s="516" t="n">
        <v>92.2286964157935</v>
      </c>
      <c r="E604" s="515" t="n">
        <f aca="false">(D604-D603)/D603</f>
        <v>-0.0840974112799375</v>
      </c>
    </row>
    <row r="605" customFormat="false" ht="14.25" hidden="false" customHeight="true" outlineLevel="0" collapsed="false">
      <c r="A605" s="511" t="n">
        <v>43923</v>
      </c>
      <c r="B605" s="507" t="n">
        <v>2526.899902</v>
      </c>
      <c r="C605" s="518" t="n">
        <f aca="false">(B605-B604)/B604</f>
        <v>0.0228293470957297</v>
      </c>
      <c r="D605" s="512" t="n">
        <v>95.6220498708838</v>
      </c>
      <c r="E605" s="518" t="n">
        <f aca="false">(D605-D604)/D604</f>
        <v>0.0367928159777093</v>
      </c>
    </row>
    <row r="606" customFormat="false" ht="14.25" hidden="false" customHeight="true" outlineLevel="0" collapsed="false">
      <c r="A606" s="513" t="n">
        <v>43924</v>
      </c>
      <c r="B606" s="514" t="n">
        <v>2488.649902</v>
      </c>
      <c r="C606" s="515" t="n">
        <f aca="false">(B606-B605)/B605</f>
        <v>-0.0151371251270087</v>
      </c>
      <c r="D606" s="516" t="n">
        <v>93.0408909019041</v>
      </c>
      <c r="E606" s="515" t="n">
        <f aca="false">(D606-D605)/D605</f>
        <v>-0.0269933448662204</v>
      </c>
    </row>
    <row r="607" customFormat="false" ht="14.25" hidden="false" customHeight="true" outlineLevel="0" collapsed="false">
      <c r="A607" s="511" t="n">
        <v>43927</v>
      </c>
      <c r="B607" s="507" t="n">
        <v>2663.679932</v>
      </c>
      <c r="C607" s="518" t="n">
        <f aca="false">(B607-B606)/B606</f>
        <v>0.0703313189449979</v>
      </c>
      <c r="D607" s="512" t="n">
        <v>104.136536349896</v>
      </c>
      <c r="E607" s="518" t="n">
        <f aca="false">(D607-D606)/D606</f>
        <v>0.119255580427431</v>
      </c>
    </row>
    <row r="608" customFormat="false" ht="14.25" hidden="false" customHeight="true" outlineLevel="0" collapsed="false">
      <c r="A608" s="513" t="n">
        <v>43928</v>
      </c>
      <c r="B608" s="514" t="n">
        <v>2659.409912</v>
      </c>
      <c r="C608" s="515" t="n">
        <f aca="false">(B608-B607)/B607</f>
        <v>-0.00160305296019324</v>
      </c>
      <c r="D608" s="516" t="n">
        <v>103.844734973317</v>
      </c>
      <c r="E608" s="515" t="n">
        <f aca="false">(D608-D607)/D607</f>
        <v>-0.00280210372657832</v>
      </c>
    </row>
    <row r="609" customFormat="false" ht="14.25" hidden="false" customHeight="true" outlineLevel="0" collapsed="false">
      <c r="A609" s="511" t="n">
        <v>43929</v>
      </c>
      <c r="B609" s="507" t="n">
        <v>2749.97998</v>
      </c>
      <c r="C609" s="518" t="n">
        <f aca="false">(B609-B608)/B608</f>
        <v>0.0340564527458977</v>
      </c>
      <c r="D609" s="512" t="n">
        <v>110.485743385139</v>
      </c>
      <c r="E609" s="518" t="n">
        <f aca="false">(D609-D608)/D608</f>
        <v>0.0639513251541199</v>
      </c>
    </row>
    <row r="610" customFormat="false" ht="14.25" hidden="false" customHeight="true" outlineLevel="0" collapsed="false">
      <c r="A610" s="513" t="n">
        <v>43930</v>
      </c>
      <c r="B610" s="514" t="n">
        <v>2789.820068</v>
      </c>
      <c r="C610" s="515" t="n">
        <f aca="false">(B610-B609)/B609</f>
        <v>0.0144874101956189</v>
      </c>
      <c r="D610" s="516" t="n">
        <v>113.310014821953</v>
      </c>
      <c r="E610" s="515" t="n">
        <f aca="false">(D610-D609)/D609</f>
        <v>0.0255623155556727</v>
      </c>
    </row>
    <row r="611" customFormat="false" ht="14.25" hidden="false" customHeight="true" outlineLevel="0" collapsed="false">
      <c r="A611" s="511" t="n">
        <v>43934</v>
      </c>
      <c r="B611" s="507" t="n">
        <v>2761.629883</v>
      </c>
      <c r="C611" s="518" t="n">
        <f aca="false">(B611-B610)/B610</f>
        <v>-0.0101046606278839</v>
      </c>
      <c r="D611" s="512" t="n">
        <v>111.276442329881</v>
      </c>
      <c r="E611" s="518" t="n">
        <f aca="false">(D611-D610)/D610</f>
        <v>-0.0179469793139416</v>
      </c>
    </row>
    <row r="612" customFormat="false" ht="14.25" hidden="false" customHeight="true" outlineLevel="0" collapsed="false">
      <c r="A612" s="513" t="n">
        <v>43935</v>
      </c>
      <c r="B612" s="514" t="n">
        <v>2846.060059</v>
      </c>
      <c r="C612" s="515" t="n">
        <f aca="false">(B612-B611)/B611</f>
        <v>0.0305725892233908</v>
      </c>
      <c r="D612" s="516" t="n">
        <v>117.224714501428</v>
      </c>
      <c r="E612" s="515" t="n">
        <f aca="false">(D612-D611)/D611</f>
        <v>0.0534549096556596</v>
      </c>
    </row>
    <row r="613" customFormat="false" ht="14.25" hidden="false" customHeight="true" outlineLevel="0" collapsed="false">
      <c r="A613" s="511" t="n">
        <v>43936</v>
      </c>
      <c r="B613" s="507" t="n">
        <v>2783.360107</v>
      </c>
      <c r="C613" s="518" t="n">
        <f aca="false">(B613-B612)/B612</f>
        <v>-0.0220304388172435</v>
      </c>
      <c r="D613" s="512" t="n">
        <v>113.026905686725</v>
      </c>
      <c r="E613" s="518" t="n">
        <f aca="false">(D613-D612)/D612</f>
        <v>-0.0358099299499839</v>
      </c>
    </row>
    <row r="614" customFormat="false" ht="14.25" hidden="false" customHeight="true" outlineLevel="0" collapsed="false">
      <c r="A614" s="513" t="n">
        <v>43937</v>
      </c>
      <c r="B614" s="514" t="n">
        <v>2799.550049</v>
      </c>
      <c r="C614" s="515" t="n">
        <f aca="false">(B614-B613)/B613</f>
        <v>0.00581668967636748</v>
      </c>
      <c r="D614" s="516" t="n">
        <v>114.225126093936</v>
      </c>
      <c r="E614" s="515" t="n">
        <f aca="false">(D614-D613)/D613</f>
        <v>0.0106011962366915</v>
      </c>
    </row>
    <row r="615" customFormat="false" ht="14.25" hidden="false" customHeight="true" outlineLevel="0" collapsed="false">
      <c r="A615" s="511" t="n">
        <v>43938</v>
      </c>
      <c r="B615" s="507" t="n">
        <v>2874.560059</v>
      </c>
      <c r="C615" s="518" t="n">
        <f aca="false">(B615-B614)/B614</f>
        <v>0.0267935949302973</v>
      </c>
      <c r="D615" s="512" t="n">
        <v>120.096701590356</v>
      </c>
      <c r="E615" s="518" t="n">
        <f aca="false">(D615-D614)/D614</f>
        <v>0.0514035370080604</v>
      </c>
    </row>
    <row r="616" customFormat="false" ht="14.25" hidden="false" customHeight="true" outlineLevel="0" collapsed="false">
      <c r="A616" s="513" t="n">
        <v>43941</v>
      </c>
      <c r="B616" s="514" t="n">
        <v>2823.159912</v>
      </c>
      <c r="C616" s="515" t="n">
        <f aca="false">(B616-B615)/B615</f>
        <v>-0.0178810482108629</v>
      </c>
      <c r="D616" s="516" t="n">
        <v>116.454209307309</v>
      </c>
      <c r="E616" s="515" t="n">
        <f aca="false">(D616-D615)/D615</f>
        <v>-0.030329661304699</v>
      </c>
    </row>
    <row r="617" customFormat="false" ht="14.25" hidden="false" customHeight="true" outlineLevel="0" collapsed="false">
      <c r="A617" s="511" t="n">
        <v>43942</v>
      </c>
      <c r="B617" s="507" t="n">
        <v>2736.560059</v>
      </c>
      <c r="C617" s="518" t="n">
        <f aca="false">(B617-B616)/B616</f>
        <v>-0.0306747955126108</v>
      </c>
      <c r="D617" s="512" t="n">
        <v>110.203375952398</v>
      </c>
      <c r="E617" s="518" t="n">
        <f aca="false">(D617-D616)/D616</f>
        <v>-0.0536763195773867</v>
      </c>
    </row>
    <row r="618" customFormat="false" ht="14.25" hidden="false" customHeight="true" outlineLevel="0" collapsed="false">
      <c r="A618" s="513" t="n">
        <v>43943</v>
      </c>
      <c r="B618" s="514" t="n">
        <v>2799.310059</v>
      </c>
      <c r="C618" s="515" t="n">
        <f aca="false">(B618-B617)/B617</f>
        <v>0.0229302477004397</v>
      </c>
      <c r="D618" s="516" t="n">
        <v>114.453616159159</v>
      </c>
      <c r="E618" s="515" t="n">
        <f aca="false">(D618-D617)/D617</f>
        <v>0.0385672414300345</v>
      </c>
    </row>
    <row r="619" customFormat="false" ht="14.25" hidden="false" customHeight="true" outlineLevel="0" collapsed="false">
      <c r="A619" s="511" t="n">
        <v>43944</v>
      </c>
      <c r="B619" s="507" t="n">
        <v>2797.800049</v>
      </c>
      <c r="C619" s="518" t="n">
        <f aca="false">(B619-B618)/B618</f>
        <v>-0.000539422203390856</v>
      </c>
      <c r="D619" s="512" t="n">
        <v>114.336320227458</v>
      </c>
      <c r="E619" s="518" t="n">
        <f aca="false">(D619-D618)/D618</f>
        <v>-0.00102483377666183</v>
      </c>
    </row>
    <row r="620" customFormat="false" ht="14.25" hidden="false" customHeight="true" outlineLevel="0" collapsed="false">
      <c r="A620" s="513" t="n">
        <v>43945</v>
      </c>
      <c r="B620" s="514" t="n">
        <v>2836.73999</v>
      </c>
      <c r="C620" s="515" t="n">
        <f aca="false">(B620-B619)/B619</f>
        <v>0.0139180571584871</v>
      </c>
      <c r="D620" s="516" t="n">
        <v>117.195228430082</v>
      </c>
      <c r="E620" s="515" t="n">
        <f aca="false">(D620-D619)/D619</f>
        <v>0.0250043747860395</v>
      </c>
    </row>
    <row r="621" customFormat="false" ht="14.25" hidden="false" customHeight="true" outlineLevel="0" collapsed="false">
      <c r="A621" s="511" t="n">
        <v>43948</v>
      </c>
      <c r="B621" s="507" t="n">
        <v>2878.47998</v>
      </c>
      <c r="C621" s="518" t="n">
        <f aca="false">(B621-B620)/B620</f>
        <v>0.014714069723394</v>
      </c>
      <c r="D621" s="512" t="n">
        <v>120.032546512214</v>
      </c>
      <c r="E621" s="518" t="n">
        <f aca="false">(D621-D620)/D620</f>
        <v>0.0242101843235429</v>
      </c>
    </row>
    <row r="622" customFormat="false" ht="14.25" hidden="false" customHeight="true" outlineLevel="0" collapsed="false">
      <c r="A622" s="513" t="n">
        <v>43949</v>
      </c>
      <c r="B622" s="514" t="n">
        <v>2863.389893</v>
      </c>
      <c r="C622" s="515" t="n">
        <f aca="false">(B622-B621)/B621</f>
        <v>-0.00524238038994457</v>
      </c>
      <c r="D622" s="516" t="n">
        <v>118.998648548377</v>
      </c>
      <c r="E622" s="515" t="n">
        <f aca="false">(D622-D621)/D621</f>
        <v>-0.00861348020915133</v>
      </c>
    </row>
    <row r="623" customFormat="false" ht="14.25" hidden="false" customHeight="true" outlineLevel="0" collapsed="false">
      <c r="A623" s="511" t="n">
        <v>43950</v>
      </c>
      <c r="B623" s="507" t="n">
        <v>2939.51001</v>
      </c>
      <c r="C623" s="518" t="n">
        <f aca="false">(B623-B622)/B622</f>
        <v>0.0265839162127684</v>
      </c>
      <c r="D623" s="512" t="n">
        <v>124.499405469518</v>
      </c>
      <c r="E623" s="518" t="n">
        <f aca="false">(D623-D622)/D622</f>
        <v>0.0462253730461884</v>
      </c>
    </row>
    <row r="624" customFormat="false" ht="14.25" hidden="false" customHeight="true" outlineLevel="0" collapsed="false">
      <c r="A624" s="513" t="n">
        <v>43951</v>
      </c>
      <c r="B624" s="514" t="n">
        <v>2912.429932</v>
      </c>
      <c r="C624" s="515" t="n">
        <f aca="false">(B624-B623)/B623</f>
        <v>-0.009212446260729</v>
      </c>
      <c r="D624" s="516" t="n">
        <v>122.386238161476</v>
      </c>
      <c r="E624" s="515" t="n">
        <f aca="false">(D624-D623)/D623</f>
        <v>-0.0169733124433223</v>
      </c>
    </row>
    <row r="625" customFormat="false" ht="14.25" hidden="false" customHeight="true" outlineLevel="0" collapsed="false">
      <c r="A625" s="511" t="n">
        <v>43952</v>
      </c>
      <c r="B625" s="507" t="n">
        <v>2830.709961</v>
      </c>
      <c r="C625" s="518" t="n">
        <f aca="false">(B625-B624)/B624</f>
        <v>-0.0280590341769637</v>
      </c>
      <c r="D625" s="512" t="n">
        <v>116.411034386554</v>
      </c>
      <c r="E625" s="518" t="n">
        <f aca="false">(D625-D624)/D624</f>
        <v>-0.0488225135822734</v>
      </c>
    </row>
    <row r="626" customFormat="false" ht="14.25" hidden="false" customHeight="true" outlineLevel="0" collapsed="false">
      <c r="A626" s="513" t="n">
        <v>43955</v>
      </c>
      <c r="B626" s="514" t="n">
        <v>2842.73999</v>
      </c>
      <c r="C626" s="515" t="n">
        <f aca="false">(B626-B625)/B625</f>
        <v>0.00424982748700619</v>
      </c>
      <c r="D626" s="516" t="n">
        <v>117.311804604387</v>
      </c>
      <c r="E626" s="515" t="n">
        <f aca="false">(D626-D625)/D625</f>
        <v>0.00773784222930208</v>
      </c>
    </row>
    <row r="627" customFormat="false" ht="14.25" hidden="false" customHeight="true" outlineLevel="0" collapsed="false">
      <c r="A627" s="511" t="n">
        <v>43956</v>
      </c>
      <c r="B627" s="507" t="n">
        <v>2868.439941</v>
      </c>
      <c r="C627" s="518" t="n">
        <f aca="false">(B627-B626)/B626</f>
        <v>0.00904055632608175</v>
      </c>
      <c r="D627" s="512" t="n">
        <v>119.184796787848</v>
      </c>
      <c r="E627" s="518" t="n">
        <f aca="false">(D627-D626)/D626</f>
        <v>0.0159659310482634</v>
      </c>
    </row>
    <row r="628" customFormat="false" ht="14.25" hidden="false" customHeight="true" outlineLevel="0" collapsed="false">
      <c r="A628" s="513" t="n">
        <v>43957</v>
      </c>
      <c r="B628" s="514" t="n">
        <v>2848.419922</v>
      </c>
      <c r="C628" s="515" t="n">
        <f aca="false">(B628-B627)/B627</f>
        <v>-0.00697941020616964</v>
      </c>
      <c r="D628" s="516" t="n">
        <v>117.816456201342</v>
      </c>
      <c r="E628" s="515" t="n">
        <f aca="false">(D628-D627)/D627</f>
        <v>-0.0114808316445064</v>
      </c>
    </row>
    <row r="629" customFormat="false" ht="14.25" hidden="false" customHeight="true" outlineLevel="0" collapsed="false">
      <c r="A629" s="511" t="n">
        <v>43958</v>
      </c>
      <c r="B629" s="507" t="n">
        <v>2881.189941</v>
      </c>
      <c r="C629" s="518" t="n">
        <f aca="false">(B629-B628)/B628</f>
        <v>0.0115046306013022</v>
      </c>
      <c r="D629" s="512" t="n">
        <v>120.106413075061</v>
      </c>
      <c r="E629" s="518" t="n">
        <f aca="false">(D629-D628)/D628</f>
        <v>0.0194366470317659</v>
      </c>
    </row>
    <row r="630" customFormat="false" ht="14.25" hidden="false" customHeight="true" outlineLevel="0" collapsed="false">
      <c r="A630" s="513" t="n">
        <v>43959</v>
      </c>
      <c r="B630" s="514" t="n">
        <v>2929.800049</v>
      </c>
      <c r="C630" s="515" t="n">
        <f aca="false">(B630-B629)/B629</f>
        <v>0.0168715388417358</v>
      </c>
      <c r="D630" s="516" t="n">
        <v>123.350680855576</v>
      </c>
      <c r="E630" s="515" t="n">
        <f aca="false">(D630-D629)/D629</f>
        <v>0.0270116115988535</v>
      </c>
    </row>
    <row r="631" customFormat="false" ht="14.25" hidden="false" customHeight="true" outlineLevel="0" collapsed="false">
      <c r="A631" s="511" t="n">
        <v>43962</v>
      </c>
      <c r="B631" s="507" t="n">
        <v>2930.189941</v>
      </c>
      <c r="C631" s="518" t="n">
        <f aca="false">(B631-B630)/B630</f>
        <v>0.00013307802357817</v>
      </c>
      <c r="D631" s="512" t="n">
        <v>123.380353960902</v>
      </c>
      <c r="E631" s="518" t="n">
        <f aca="false">(D631-D630)/D630</f>
        <v>0.000240558909932082</v>
      </c>
    </row>
    <row r="632" customFormat="false" ht="14.25" hidden="false" customHeight="true" outlineLevel="0" collapsed="false">
      <c r="A632" s="513" t="n">
        <v>43963</v>
      </c>
      <c r="B632" s="514" t="n">
        <v>2870.120117</v>
      </c>
      <c r="C632" s="515" t="n">
        <f aca="false">(B632-B631)/B631</f>
        <v>-0.0205003174570655</v>
      </c>
      <c r="D632" s="516" t="n">
        <v>119.294680193467</v>
      </c>
      <c r="E632" s="515" t="n">
        <f aca="false">(D632-D631)/D631</f>
        <v>-0.0331144597682846</v>
      </c>
    </row>
    <row r="633" customFormat="false" ht="14.25" hidden="false" customHeight="true" outlineLevel="0" collapsed="false">
      <c r="A633" s="511" t="n">
        <v>43964</v>
      </c>
      <c r="B633" s="507" t="n">
        <v>2820</v>
      </c>
      <c r="C633" s="518" t="n">
        <f aca="false">(B633-B632)/B632</f>
        <v>-0.0174627245400405</v>
      </c>
      <c r="D633" s="512" t="n">
        <v>115.834819020582</v>
      </c>
      <c r="E633" s="518" t="n">
        <f aca="false">(D633-D632)/D632</f>
        <v>-0.0290026442694171</v>
      </c>
    </row>
    <row r="634" customFormat="false" ht="14.25" hidden="false" customHeight="true" outlineLevel="0" collapsed="false">
      <c r="A634" s="513" t="n">
        <v>43965</v>
      </c>
      <c r="B634" s="514" t="n">
        <v>2852.5</v>
      </c>
      <c r="C634" s="515" t="n">
        <f aca="false">(B634-B633)/B633</f>
        <v>0.0115248226950355</v>
      </c>
      <c r="D634" s="516" t="n">
        <v>118.098577480199</v>
      </c>
      <c r="E634" s="515" t="n">
        <f aca="false">(D634-D633)/D633</f>
        <v>0.0195429878404244</v>
      </c>
    </row>
    <row r="635" customFormat="false" ht="14.25" hidden="false" customHeight="true" outlineLevel="0" collapsed="false">
      <c r="A635" s="511" t="n">
        <v>43966</v>
      </c>
      <c r="B635" s="507" t="n">
        <v>2863.699951</v>
      </c>
      <c r="C635" s="518" t="n">
        <f aca="false">(B635-B634)/B634</f>
        <v>0.00392636319018407</v>
      </c>
      <c r="D635" s="512" t="n">
        <v>118.926698307326</v>
      </c>
      <c r="E635" s="518" t="n">
        <f aca="false">(D635-D634)/D634</f>
        <v>0.00701211517357909</v>
      </c>
    </row>
    <row r="636" customFormat="false" ht="14.25" hidden="false" customHeight="true" outlineLevel="0" collapsed="false">
      <c r="A636" s="513" t="n">
        <v>43969</v>
      </c>
      <c r="B636" s="514" t="n">
        <v>2953.909912</v>
      </c>
      <c r="C636" s="515" t="n">
        <f aca="false">(B636-B635)/B635</f>
        <v>0.0315011916553963</v>
      </c>
      <c r="D636" s="516" t="n">
        <v>125.670432024307</v>
      </c>
      <c r="E636" s="515" t="n">
        <f aca="false">(D636-D635)/D635</f>
        <v>0.0567049603912663</v>
      </c>
    </row>
    <row r="637" customFormat="false" ht="14.25" hidden="false" customHeight="true" outlineLevel="0" collapsed="false">
      <c r="A637" s="511" t="n">
        <v>43970</v>
      </c>
      <c r="B637" s="507" t="n">
        <v>2922.939941</v>
      </c>
      <c r="C637" s="518" t="n">
        <f aca="false">(B637-B636)/B636</f>
        <v>-0.0104843992953838</v>
      </c>
      <c r="D637" s="512" t="n">
        <v>123.293189239217</v>
      </c>
      <c r="E637" s="518" t="n">
        <f aca="false">(D637-D636)/D636</f>
        <v>-0.0189164845445124</v>
      </c>
    </row>
    <row r="638" customFormat="false" ht="14.25" hidden="false" customHeight="true" outlineLevel="0" collapsed="false">
      <c r="A638" s="513" t="n">
        <v>43971</v>
      </c>
      <c r="B638" s="514" t="n">
        <v>2971.610107</v>
      </c>
      <c r="C638" s="515" t="n">
        <f aca="false">(B638-B637)/B637</f>
        <v>0.0166511002560486</v>
      </c>
      <c r="D638" s="516" t="n">
        <v>126.741589300525</v>
      </c>
      <c r="E638" s="515" t="n">
        <f aca="false">(D638-D637)/D637</f>
        <v>0.0279691042350873</v>
      </c>
    </row>
    <row r="639" customFormat="false" ht="14.25" hidden="false" customHeight="true" outlineLevel="0" collapsed="false">
      <c r="A639" s="511" t="n">
        <v>43972</v>
      </c>
      <c r="B639" s="507" t="n">
        <v>2948.51001</v>
      </c>
      <c r="C639" s="518" t="n">
        <f aca="false">(B639-B638)/B638</f>
        <v>-0.00777359618800085</v>
      </c>
      <c r="D639" s="512" t="n">
        <v>125.007667050618</v>
      </c>
      <c r="E639" s="518" t="n">
        <f aca="false">(D639-D638)/D638</f>
        <v>-0.013680767769099</v>
      </c>
    </row>
    <row r="640" customFormat="false" ht="14.25" hidden="false" customHeight="true" outlineLevel="0" collapsed="false">
      <c r="A640" s="513" t="n">
        <v>43973</v>
      </c>
      <c r="B640" s="514" t="n">
        <v>2955.449951</v>
      </c>
      <c r="C640" s="515" t="n">
        <f aca="false">(B640-B639)/B639</f>
        <v>0.00235371118851996</v>
      </c>
      <c r="D640" s="516" t="n">
        <v>125.525573473252</v>
      </c>
      <c r="E640" s="515" t="n">
        <f aca="false">(D640-D639)/D639</f>
        <v>0.00414299726451409</v>
      </c>
    </row>
    <row r="641" customFormat="false" ht="14.25" hidden="false" customHeight="true" outlineLevel="0" collapsed="false">
      <c r="A641" s="511" t="n">
        <v>43977</v>
      </c>
      <c r="B641" s="507" t="n">
        <v>2991.77002</v>
      </c>
      <c r="C641" s="518" t="n">
        <f aca="false">(B641-B640)/B640</f>
        <v>0.0122891842535553</v>
      </c>
      <c r="D641" s="512" t="n">
        <v>128.360964321039</v>
      </c>
      <c r="E641" s="518" t="n">
        <f aca="false">(D641-D640)/D640</f>
        <v>0.0225881529104601</v>
      </c>
    </row>
    <row r="642" customFormat="false" ht="14.25" hidden="false" customHeight="true" outlineLevel="0" collapsed="false">
      <c r="A642" s="513" t="n">
        <v>43978</v>
      </c>
      <c r="B642" s="514" t="n">
        <v>3036.129883</v>
      </c>
      <c r="C642" s="515" t="n">
        <f aca="false">(B642-B641)/B641</f>
        <v>0.0148272971195828</v>
      </c>
      <c r="D642" s="516" t="n">
        <v>131.937666495417</v>
      </c>
      <c r="E642" s="515" t="n">
        <f aca="false">(D642-D641)/D641</f>
        <v>0.0278644071684631</v>
      </c>
    </row>
    <row r="643" customFormat="false" ht="14.25" hidden="false" customHeight="true" outlineLevel="0" collapsed="false">
      <c r="A643" s="511" t="n">
        <v>43979</v>
      </c>
      <c r="B643" s="507" t="n">
        <v>3029.72998</v>
      </c>
      <c r="C643" s="518" t="n">
        <f aca="false">(B643-B642)/B642</f>
        <v>-0.00210791476209056</v>
      </c>
      <c r="D643" s="512" t="n">
        <v>131.44116152589</v>
      </c>
      <c r="E643" s="518" t="n">
        <f aca="false">(D643-D642)/D642</f>
        <v>-0.00376317834561855</v>
      </c>
    </row>
    <row r="644" customFormat="false" ht="14.25" hidden="false" customHeight="true" outlineLevel="0" collapsed="false">
      <c r="A644" s="513" t="n">
        <v>43980</v>
      </c>
      <c r="B644" s="514" t="n">
        <v>3044.310059</v>
      </c>
      <c r="C644" s="515" t="n">
        <f aca="false">(B644-B643)/B643</f>
        <v>0.00481233611452062</v>
      </c>
      <c r="D644" s="516" t="n">
        <v>132.510016917348</v>
      </c>
      <c r="E644" s="515" t="n">
        <f aca="false">(D644-D643)/D643</f>
        <v>0.00813181638879123</v>
      </c>
    </row>
    <row r="645" customFormat="false" ht="14.25" hidden="false" customHeight="true" outlineLevel="0" collapsed="false">
      <c r="A645" s="511" t="n">
        <v>43983</v>
      </c>
      <c r="B645" s="507" t="n">
        <v>3055.72998</v>
      </c>
      <c r="C645" s="518" t="n">
        <f aca="false">(B645-B644)/B644</f>
        <v>0.00375123452561576</v>
      </c>
      <c r="D645" s="512" t="n">
        <v>133.408343994814</v>
      </c>
      <c r="E645" s="518" t="n">
        <f aca="false">(D645-D644)/D644</f>
        <v>0.00677931448779703</v>
      </c>
    </row>
    <row r="646" customFormat="false" ht="14.25" hidden="false" customHeight="true" outlineLevel="0" collapsed="false">
      <c r="A646" s="513" t="n">
        <v>43984</v>
      </c>
      <c r="B646" s="514" t="n">
        <v>3080.820068</v>
      </c>
      <c r="C646" s="515" t="n">
        <f aca="false">(B646-B645)/B645</f>
        <v>0.00821083281710641</v>
      </c>
      <c r="D646" s="516" t="n">
        <v>135.440391194503</v>
      </c>
      <c r="E646" s="515" t="n">
        <f aca="false">(D646-D645)/D645</f>
        <v>0.0152317849007105</v>
      </c>
    </row>
    <row r="647" customFormat="false" ht="14.25" hidden="false" customHeight="true" outlineLevel="0" collapsed="false">
      <c r="A647" s="511" t="n">
        <v>43985</v>
      </c>
      <c r="B647" s="507" t="n">
        <v>3122.870117</v>
      </c>
      <c r="C647" s="518" t="n">
        <f aca="false">(B647-B646)/B646</f>
        <v>0.0136489791912119</v>
      </c>
      <c r="D647" s="512" t="n">
        <v>138.958570945395</v>
      </c>
      <c r="E647" s="518" t="n">
        <f aca="false">(D647-D646)/D646</f>
        <v>0.0259758534353287</v>
      </c>
    </row>
    <row r="648" customFormat="false" ht="14.25" hidden="false" customHeight="true" outlineLevel="0" collapsed="false">
      <c r="A648" s="513" t="n">
        <v>43986</v>
      </c>
      <c r="B648" s="514" t="n">
        <v>3112.350098</v>
      </c>
      <c r="C648" s="515" t="n">
        <f aca="false">(B648-B647)/B647</f>
        <v>-0.00336870206120072</v>
      </c>
      <c r="D648" s="516" t="n">
        <v>138.156498007118</v>
      </c>
      <c r="E648" s="515" t="n">
        <f aca="false">(D648-D647)/D647</f>
        <v>-0.00577202926613421</v>
      </c>
    </row>
    <row r="649" customFormat="false" ht="14.25" hidden="false" customHeight="true" outlineLevel="0" collapsed="false">
      <c r="A649" s="511" t="n">
        <v>43987</v>
      </c>
      <c r="B649" s="507" t="n">
        <v>3193.929932</v>
      </c>
      <c r="C649" s="518" t="n">
        <f aca="false">(B649-B648)/B648</f>
        <v>0.0262116508205242</v>
      </c>
      <c r="D649" s="512" t="n">
        <v>144.823326253002</v>
      </c>
      <c r="E649" s="518" t="n">
        <f aca="false">(D649-D648)/D648</f>
        <v>0.0482556256278335</v>
      </c>
    </row>
    <row r="650" customFormat="false" ht="14.25" hidden="false" customHeight="true" outlineLevel="0" collapsed="false">
      <c r="A650" s="513" t="n">
        <v>43990</v>
      </c>
      <c r="B650" s="514" t="n">
        <v>3232.389893</v>
      </c>
      <c r="C650" s="515" t="n">
        <f aca="false">(B650-B649)/B649</f>
        <v>0.0120415794393826</v>
      </c>
      <c r="D650" s="516" t="n">
        <v>147.681155247951</v>
      </c>
      <c r="E650" s="515" t="n">
        <f aca="false">(D650-D649)/D649</f>
        <v>0.0197332092066196</v>
      </c>
    </row>
    <row r="651" customFormat="false" ht="14.25" hidden="false" customHeight="true" outlineLevel="0" collapsed="false">
      <c r="A651" s="511" t="n">
        <v>43991</v>
      </c>
      <c r="B651" s="507" t="n">
        <v>3207.179932</v>
      </c>
      <c r="C651" s="518" t="n">
        <f aca="false">(B651-B650)/B650</f>
        <v>-0.00779917084092925</v>
      </c>
      <c r="D651" s="512" t="n">
        <v>145.738265081911</v>
      </c>
      <c r="E651" s="518" t="n">
        <f aca="false">(D651-D650)/D650</f>
        <v>-0.0131559789248531</v>
      </c>
    </row>
    <row r="652" customFormat="false" ht="14.25" hidden="false" customHeight="true" outlineLevel="0" collapsed="false">
      <c r="A652" s="513" t="n">
        <v>43992</v>
      </c>
      <c r="B652" s="514" t="n">
        <v>3190.139893</v>
      </c>
      <c r="C652" s="515" t="n">
        <f aca="false">(B652-B651)/B651</f>
        <v>-0.00531309105235446</v>
      </c>
      <c r="D652" s="516" t="n">
        <v>144.292238713889</v>
      </c>
      <c r="E652" s="515" t="n">
        <f aca="false">(D652-D651)/D651</f>
        <v>-0.00992207754915492</v>
      </c>
    </row>
    <row r="653" customFormat="false" ht="14.25" hidden="false" customHeight="true" outlineLevel="0" collapsed="false">
      <c r="A653" s="511" t="n">
        <v>43993</v>
      </c>
      <c r="B653" s="507" t="n">
        <v>3002.100098</v>
      </c>
      <c r="C653" s="518" t="n">
        <f aca="false">(B653-B652)/B652</f>
        <v>-0.0589440592911328</v>
      </c>
      <c r="D653" s="512" t="n">
        <v>130.334534413092</v>
      </c>
      <c r="E653" s="518" t="n">
        <f aca="false">(D653-D652)/D652</f>
        <v>-0.0967321903465171</v>
      </c>
    </row>
    <row r="654" customFormat="false" ht="14.25" hidden="false" customHeight="true" outlineLevel="0" collapsed="false">
      <c r="A654" s="513" t="n">
        <v>43994</v>
      </c>
      <c r="B654" s="514" t="n">
        <v>3041.310059</v>
      </c>
      <c r="C654" s="515" t="n">
        <f aca="false">(B654-B653)/B653</f>
        <v>0.013060843982558</v>
      </c>
      <c r="D654" s="516" t="n">
        <v>133.473496112914</v>
      </c>
      <c r="E654" s="515" t="n">
        <f aca="false">(D654-D653)/D653</f>
        <v>0.0240838831700058</v>
      </c>
    </row>
    <row r="655" customFormat="false" ht="14.25" hidden="false" customHeight="true" outlineLevel="0" collapsed="false">
      <c r="A655" s="511" t="n">
        <v>43997</v>
      </c>
      <c r="B655" s="507" t="n">
        <v>3066.590088</v>
      </c>
      <c r="C655" s="518" t="n">
        <f aca="false">(B655-B654)/B654</f>
        <v>0.00831221694256068</v>
      </c>
      <c r="D655" s="512" t="n">
        <v>135.351507455596</v>
      </c>
      <c r="E655" s="518" t="n">
        <f aca="false">(D655-D654)/D654</f>
        <v>0.0140702940836528</v>
      </c>
    </row>
    <row r="656" customFormat="false" ht="14.25" hidden="false" customHeight="true" outlineLevel="0" collapsed="false">
      <c r="A656" s="513" t="n">
        <v>43998</v>
      </c>
      <c r="B656" s="514" t="n">
        <v>3124.73999</v>
      </c>
      <c r="C656" s="515" t="n">
        <f aca="false">(B656-B655)/B655</f>
        <v>0.0189623980810311</v>
      </c>
      <c r="D656" s="516" t="n">
        <v>140.230006592617</v>
      </c>
      <c r="E656" s="515" t="n">
        <f aca="false">(D656-D655)/D655</f>
        <v>0.0360431828852846</v>
      </c>
    </row>
    <row r="657" customFormat="false" ht="14.25" hidden="false" customHeight="true" outlineLevel="0" collapsed="false">
      <c r="A657" s="511" t="n">
        <v>43999</v>
      </c>
      <c r="B657" s="507" t="n">
        <v>3113.48999</v>
      </c>
      <c r="C657" s="518" t="n">
        <f aca="false">(B657-B656)/B656</f>
        <v>-0.00360029955644406</v>
      </c>
      <c r="D657" s="512" t="n">
        <v>139.366382144249</v>
      </c>
      <c r="E657" s="518" t="n">
        <f aca="false">(D657-D656)/D656</f>
        <v>-0.00615862802372192</v>
      </c>
    </row>
    <row r="658" customFormat="false" ht="14.25" hidden="false" customHeight="true" outlineLevel="0" collapsed="false">
      <c r="A658" s="513" t="n">
        <v>44000</v>
      </c>
      <c r="B658" s="514" t="n">
        <v>3115.340088</v>
      </c>
      <c r="C658" s="515" t="n">
        <f aca="false">(B658-B657)/B657</f>
        <v>0.000594219992979611</v>
      </c>
      <c r="D658" s="516" t="n">
        <v>139.507831406847</v>
      </c>
      <c r="E658" s="515" t="n">
        <f aca="false">(D658-D657)/D657</f>
        <v>0.00101494535785249</v>
      </c>
    </row>
    <row r="659" customFormat="false" ht="14.25" hidden="false" customHeight="true" outlineLevel="0" collapsed="false">
      <c r="A659" s="511" t="n">
        <v>44001</v>
      </c>
      <c r="B659" s="507" t="n">
        <v>3097.73999</v>
      </c>
      <c r="C659" s="518" t="n">
        <f aca="false">(B659-B658)/B658</f>
        <v>-0.00564949491960567</v>
      </c>
      <c r="D659" s="512" t="n">
        <v>138.038078134669</v>
      </c>
      <c r="E659" s="518" t="n">
        <f aca="false">(D659-D658)/D658</f>
        <v>-0.0105352743093809</v>
      </c>
    </row>
    <row r="660" customFormat="false" ht="14.25" hidden="false" customHeight="true" outlineLevel="0" collapsed="false">
      <c r="A660" s="513" t="n">
        <v>44004</v>
      </c>
      <c r="B660" s="514" t="n">
        <v>3117.860107</v>
      </c>
      <c r="C660" s="515" t="n">
        <f aca="false">(B660-B659)/B659</f>
        <v>0.00649509547765497</v>
      </c>
      <c r="D660" s="516" t="n">
        <v>139.487837506971</v>
      </c>
      <c r="E660" s="515" t="n">
        <f aca="false">(D660-D659)/D659</f>
        <v>0.0105026047297444</v>
      </c>
    </row>
    <row r="661" customFormat="false" ht="14.25" hidden="false" customHeight="true" outlineLevel="0" collapsed="false">
      <c r="A661" s="511" t="n">
        <v>44005</v>
      </c>
      <c r="B661" s="507" t="n">
        <v>3131.290039</v>
      </c>
      <c r="C661" s="518" t="n">
        <f aca="false">(B661-B660)/B660</f>
        <v>0.00430741968501026</v>
      </c>
      <c r="D661" s="512" t="n">
        <v>140.48349556945</v>
      </c>
      <c r="E661" s="518" t="n">
        <f aca="false">(D661-D660)/D660</f>
        <v>0.00713795611340846</v>
      </c>
    </row>
    <row r="662" customFormat="false" ht="14.25" hidden="false" customHeight="true" outlineLevel="0" collapsed="false">
      <c r="A662" s="513" t="n">
        <v>44006</v>
      </c>
      <c r="B662" s="514" t="n">
        <v>3050.330078</v>
      </c>
      <c r="C662" s="515" t="n">
        <f aca="false">(B662-B661)/B661</f>
        <v>-0.0258551459595404</v>
      </c>
      <c r="D662" s="516" t="n">
        <v>134.177065850405</v>
      </c>
      <c r="E662" s="515" t="n">
        <f aca="false">(D662-D661)/D661</f>
        <v>-0.0448908940760756</v>
      </c>
    </row>
    <row r="663" customFormat="false" ht="14.25" hidden="false" customHeight="true" outlineLevel="0" collapsed="false">
      <c r="A663" s="511" t="n">
        <v>44007</v>
      </c>
      <c r="B663" s="507" t="n">
        <v>3083.76001</v>
      </c>
      <c r="C663" s="518" t="n">
        <f aca="false">(B663-B662)/B662</f>
        <v>0.010959447386074</v>
      </c>
      <c r="D663" s="512" t="n">
        <v>136.571772912521</v>
      </c>
      <c r="E663" s="518" t="n">
        <f aca="false">(D663-D662)/D662</f>
        <v>0.017847364949729</v>
      </c>
    </row>
    <row r="664" customFormat="false" ht="14.25" hidden="false" customHeight="true" outlineLevel="0" collapsed="false">
      <c r="A664" s="513" t="n">
        <v>44008</v>
      </c>
      <c r="B664" s="514" t="n">
        <v>3009.050049</v>
      </c>
      <c r="C664" s="515" t="n">
        <f aca="false">(B664-B663)/B663</f>
        <v>-0.0242269050632121</v>
      </c>
      <c r="D664" s="516" t="n">
        <v>131.248468926672</v>
      </c>
      <c r="E664" s="515" t="n">
        <f aca="false">(D664-D663)/D663</f>
        <v>-0.0389780689839823</v>
      </c>
    </row>
    <row r="665" customFormat="false" ht="14.25" hidden="false" customHeight="true" outlineLevel="0" collapsed="false">
      <c r="A665" s="511" t="n">
        <v>44011</v>
      </c>
      <c r="B665" s="507" t="n">
        <v>3053.23999</v>
      </c>
      <c r="C665" s="518" t="n">
        <f aca="false">(B665-B664)/B664</f>
        <v>0.0146856782972705</v>
      </c>
      <c r="D665" s="512" t="n">
        <v>134.72085529803</v>
      </c>
      <c r="E665" s="518" t="n">
        <f aca="false">(D665-D664)/D664</f>
        <v>0.026456585739663</v>
      </c>
    </row>
    <row r="666" customFormat="false" ht="14.25" hidden="false" customHeight="true" outlineLevel="0" collapsed="false">
      <c r="A666" s="513" t="n">
        <v>44012</v>
      </c>
      <c r="B666" s="514" t="n">
        <v>3100.290039</v>
      </c>
      <c r="C666" s="515" t="n">
        <f aca="false">(B666-B665)/B665</f>
        <v>0.0154098757890302</v>
      </c>
      <c r="D666" s="516" t="n">
        <v>138.376204789074</v>
      </c>
      <c r="E666" s="515" t="n">
        <f aca="false">(D666-D665)/D665</f>
        <v>0.0271327663631412</v>
      </c>
    </row>
    <row r="667" customFormat="false" ht="14.25" hidden="false" customHeight="true" outlineLevel="0" collapsed="false">
      <c r="A667" s="511" t="n">
        <v>44013</v>
      </c>
      <c r="B667" s="507" t="n">
        <v>3115.860107</v>
      </c>
      <c r="C667" s="518" t="n">
        <f aca="false">(B667-B666)/B666</f>
        <v>0.00502213270504915</v>
      </c>
      <c r="D667" s="512" t="n">
        <v>139.597790662119</v>
      </c>
      <c r="E667" s="518" t="n">
        <f aca="false">(D667-D666)/D666</f>
        <v>0.00882800532726748</v>
      </c>
    </row>
    <row r="668" customFormat="false" ht="14.25" hidden="false" customHeight="true" outlineLevel="0" collapsed="false">
      <c r="A668" s="513" t="n">
        <v>44014</v>
      </c>
      <c r="B668" s="514" t="n">
        <v>3130.01001</v>
      </c>
      <c r="C668" s="515" t="n">
        <f aca="false">(B668-B667)/B667</f>
        <v>0.00454125105559497</v>
      </c>
      <c r="D668" s="516" t="n">
        <v>140.716469856865</v>
      </c>
      <c r="E668" s="515" t="n">
        <f aca="false">(D668-D667)/D667</f>
        <v>0.00801358810508422</v>
      </c>
    </row>
    <row r="669" customFormat="false" ht="14.25" hidden="false" customHeight="true" outlineLevel="0" collapsed="false">
      <c r="A669" s="511" t="n">
        <v>44018</v>
      </c>
      <c r="B669" s="507" t="n">
        <v>3179.719971</v>
      </c>
      <c r="C669" s="518" t="n">
        <f aca="false">(B669-B668)/B668</f>
        <v>0.0158817258862377</v>
      </c>
      <c r="D669" s="512" t="n">
        <v>144.729225336561</v>
      </c>
      <c r="E669" s="518" t="n">
        <f aca="false">(D669-D668)/D668</f>
        <v>0.0285166013884355</v>
      </c>
    </row>
    <row r="670" customFormat="false" ht="14.25" hidden="false" customHeight="true" outlineLevel="0" collapsed="false">
      <c r="A670" s="513" t="n">
        <v>44019</v>
      </c>
      <c r="B670" s="514" t="n">
        <v>3145.320068</v>
      </c>
      <c r="C670" s="515" t="n">
        <f aca="false">(B670-B669)/B669</f>
        <v>-0.0108185322335732</v>
      </c>
      <c r="D670" s="516" t="n">
        <v>142.019755758513</v>
      </c>
      <c r="E670" s="515" t="n">
        <f aca="false">(D670-D669)/D669</f>
        <v>-0.0187209568195176</v>
      </c>
    </row>
    <row r="671" customFormat="false" ht="14.25" hidden="false" customHeight="true" outlineLevel="0" collapsed="false">
      <c r="A671" s="511" t="n">
        <v>44020</v>
      </c>
      <c r="B671" s="507" t="n">
        <v>3169.939941</v>
      </c>
      <c r="C671" s="518" t="n">
        <f aca="false">(B671-B670)/B670</f>
        <v>0.00782746190140675</v>
      </c>
      <c r="D671" s="512" t="n">
        <v>144.0166353944</v>
      </c>
      <c r="E671" s="518" t="n">
        <f aca="false">(D671-D670)/D670</f>
        <v>0.0140605764685473</v>
      </c>
    </row>
    <row r="672" customFormat="false" ht="14.25" hidden="false" customHeight="true" outlineLevel="0" collapsed="false">
      <c r="A672" s="513" t="n">
        <v>44021</v>
      </c>
      <c r="B672" s="514" t="n">
        <v>3152.050049</v>
      </c>
      <c r="C672" s="515" t="n">
        <f aca="false">(B672-B671)/B671</f>
        <v>-0.00564360597770712</v>
      </c>
      <c r="D672" s="516" t="n">
        <v>142.686776691256</v>
      </c>
      <c r="E672" s="515" t="n">
        <f aca="false">(D672-D671)/D671</f>
        <v>-0.00923406313098541</v>
      </c>
    </row>
    <row r="673" customFormat="false" ht="14.25" hidden="false" customHeight="true" outlineLevel="0" collapsed="false">
      <c r="A673" s="511" t="n">
        <v>44022</v>
      </c>
      <c r="B673" s="507" t="n">
        <v>3185.040039</v>
      </c>
      <c r="C673" s="518" t="n">
        <f aca="false">(B673-B672)/B672</f>
        <v>0.0104662011983173</v>
      </c>
      <c r="D673" s="512" t="n">
        <v>145.450756099113</v>
      </c>
      <c r="E673" s="518" t="n">
        <f aca="false">(D673-D672)/D672</f>
        <v>0.0193709569446485</v>
      </c>
    </row>
    <row r="674" customFormat="false" ht="14.25" hidden="false" customHeight="true" outlineLevel="0" collapsed="false">
      <c r="A674" s="513" t="n">
        <v>44025</v>
      </c>
      <c r="B674" s="514" t="n">
        <v>3155.219971</v>
      </c>
      <c r="C674" s="515" t="n">
        <f aca="false">(B674-B673)/B673</f>
        <v>-0.00936254101513981</v>
      </c>
      <c r="D674" s="516" t="n">
        <v>142.943827464547</v>
      </c>
      <c r="E674" s="515" t="n">
        <f aca="false">(D674-D673)/D673</f>
        <v>-0.0172355833809328</v>
      </c>
    </row>
    <row r="675" customFormat="false" ht="14.25" hidden="false" customHeight="true" outlineLevel="0" collapsed="false">
      <c r="A675" s="511" t="n">
        <v>44026</v>
      </c>
      <c r="B675" s="507" t="n">
        <v>3197.52002</v>
      </c>
      <c r="C675" s="518" t="n">
        <f aca="false">(B675-B674)/B674</f>
        <v>0.0134063708358798</v>
      </c>
      <c r="D675" s="512" t="n">
        <v>146.308511444724</v>
      </c>
      <c r="E675" s="518" t="n">
        <f aca="false">(D675-D674)/D674</f>
        <v>0.0235385048788587</v>
      </c>
    </row>
    <row r="676" customFormat="false" ht="14.25" hidden="false" customHeight="true" outlineLevel="0" collapsed="false">
      <c r="A676" s="513" t="n">
        <v>44027</v>
      </c>
      <c r="B676" s="514" t="n">
        <v>3226.560059</v>
      </c>
      <c r="C676" s="515" t="n">
        <f aca="false">(B676-B675)/B675</f>
        <v>0.00908205072004521</v>
      </c>
      <c r="D676" s="516" t="n">
        <v>148.759345617744</v>
      </c>
      <c r="E676" s="515" t="n">
        <f aca="false">(D676-D675)/D675</f>
        <v>0.0167511387329366</v>
      </c>
    </row>
    <row r="677" customFormat="false" ht="14.25" hidden="false" customHeight="true" outlineLevel="0" collapsed="false">
      <c r="A677" s="511" t="n">
        <v>44028</v>
      </c>
      <c r="B677" s="507" t="n">
        <v>3215.570068</v>
      </c>
      <c r="C677" s="518" t="n">
        <f aca="false">(B677-B676)/B676</f>
        <v>-0.00340610148239609</v>
      </c>
      <c r="D677" s="512" t="n">
        <v>147.797503979529</v>
      </c>
      <c r="E677" s="518" t="n">
        <f aca="false">(D677-D676)/D676</f>
        <v>-0.00646575604524751</v>
      </c>
    </row>
    <row r="678" customFormat="false" ht="14.25" hidden="false" customHeight="true" outlineLevel="0" collapsed="false">
      <c r="A678" s="513" t="n">
        <v>44029</v>
      </c>
      <c r="B678" s="514" t="n">
        <v>3224.72998</v>
      </c>
      <c r="C678" s="515" t="n">
        <f aca="false">(B678-B677)/B677</f>
        <v>0.00284861216092153</v>
      </c>
      <c r="D678" s="516" t="n">
        <v>148.567317185291</v>
      </c>
      <c r="E678" s="515" t="n">
        <f aca="false">(D678-D677)/D677</f>
        <v>0.00520856702606156</v>
      </c>
    </row>
    <row r="679" customFormat="false" ht="14.25" hidden="false" customHeight="true" outlineLevel="0" collapsed="false">
      <c r="A679" s="511" t="n">
        <v>44032</v>
      </c>
      <c r="B679" s="507" t="n">
        <v>3251.840088</v>
      </c>
      <c r="C679" s="518" t="n">
        <f aca="false">(B679-B678)/B678</f>
        <v>0.00840693892764313</v>
      </c>
      <c r="D679" s="512" t="n">
        <v>150.929289486246</v>
      </c>
      <c r="E679" s="518" t="n">
        <f aca="false">(D679-D678)/D678</f>
        <v>0.0158983304383776</v>
      </c>
    </row>
    <row r="680" customFormat="false" ht="14.25" hidden="false" customHeight="true" outlineLevel="0" collapsed="false">
      <c r="A680" s="513" t="n">
        <v>44033</v>
      </c>
      <c r="B680" s="514" t="n">
        <v>3257.300049</v>
      </c>
      <c r="C680" s="515" t="n">
        <f aca="false">(B680-B679)/B679</f>
        <v>0.00167903736107703</v>
      </c>
      <c r="D680" s="516" t="n">
        <v>151.396284253279</v>
      </c>
      <c r="E680" s="515" t="n">
        <f aca="false">(D680-D679)/D679</f>
        <v>0.00309412950012955</v>
      </c>
    </row>
    <row r="681" customFormat="false" ht="14.25" hidden="false" customHeight="true" outlineLevel="0" collapsed="false">
      <c r="A681" s="511" t="n">
        <v>44034</v>
      </c>
      <c r="B681" s="507" t="n">
        <v>3276.02002</v>
      </c>
      <c r="C681" s="518" t="n">
        <f aca="false">(B681-B680)/B680</f>
        <v>0.00574708215957786</v>
      </c>
      <c r="D681" s="512" t="n">
        <v>152.940298806564</v>
      </c>
      <c r="E681" s="518" t="n">
        <f aca="false">(D681-D680)/D680</f>
        <v>0.0101984970166238</v>
      </c>
    </row>
    <row r="682" customFormat="false" ht="14.25" hidden="false" customHeight="true" outlineLevel="0" collapsed="false">
      <c r="A682" s="513" t="n">
        <v>44035</v>
      </c>
      <c r="B682" s="514" t="n">
        <v>3235.659912</v>
      </c>
      <c r="C682" s="515" t="n">
        <f aca="false">(B682-B681)/B681</f>
        <v>-0.0123198599989019</v>
      </c>
      <c r="D682" s="516" t="n">
        <v>149.344783059883</v>
      </c>
      <c r="E682" s="515" t="n">
        <f aca="false">(D682-D681)/D681</f>
        <v>-0.0235092763302922</v>
      </c>
    </row>
    <row r="683" customFormat="false" ht="14.25" hidden="false" customHeight="true" outlineLevel="0" collapsed="false">
      <c r="A683" s="511" t="n">
        <v>44036</v>
      </c>
      <c r="B683" s="507" t="n">
        <v>3215.629883</v>
      </c>
      <c r="C683" s="518" t="n">
        <f aca="false">(B683-B682)/B682</f>
        <v>-0.00619039996314669</v>
      </c>
      <c r="D683" s="512" t="n">
        <v>147.721069903967</v>
      </c>
      <c r="E683" s="518" t="n">
        <f aca="false">(D683-D682)/D682</f>
        <v>-0.0108722455692675</v>
      </c>
    </row>
    <row r="684" customFormat="false" ht="14.25" hidden="false" customHeight="true" outlineLevel="0" collapsed="false">
      <c r="A684" s="513" t="n">
        <v>44039</v>
      </c>
      <c r="B684" s="514" t="n">
        <v>3239.409912</v>
      </c>
      <c r="C684" s="515" t="n">
        <f aca="false">(B684-B683)/B683</f>
        <v>0.00739513870228579</v>
      </c>
      <c r="D684" s="516" t="n">
        <v>149.687442544183</v>
      </c>
      <c r="E684" s="515" t="n">
        <f aca="false">(D684-D683)/D683</f>
        <v>0.0133113891030869</v>
      </c>
    </row>
    <row r="685" customFormat="false" ht="14.25" hidden="false" customHeight="true" outlineLevel="0" collapsed="false">
      <c r="A685" s="511" t="n">
        <v>44040</v>
      </c>
      <c r="B685" s="507" t="n">
        <v>3218.439941</v>
      </c>
      <c r="C685" s="518" t="n">
        <f aca="false">(B685-B684)/B684</f>
        <v>-0.00647339224416128</v>
      </c>
      <c r="D685" s="512" t="n">
        <v>148.015107745308</v>
      </c>
      <c r="E685" s="518" t="n">
        <f aca="false">(D685-D684)/D684</f>
        <v>-0.0111721783100234</v>
      </c>
    </row>
    <row r="686" customFormat="false" ht="14.25" hidden="false" customHeight="true" outlineLevel="0" collapsed="false">
      <c r="A686" s="513" t="n">
        <v>44041</v>
      </c>
      <c r="B686" s="514" t="n">
        <v>3258.439941</v>
      </c>
      <c r="C686" s="515" t="n">
        <f aca="false">(B686-B685)/B685</f>
        <v>0.0124283816797189</v>
      </c>
      <c r="D686" s="516" t="n">
        <v>151.545675672151</v>
      </c>
      <c r="E686" s="515" t="n">
        <f aca="false">(D686-D685)/D685</f>
        <v>0.0238527538210363</v>
      </c>
    </row>
    <row r="687" customFormat="false" ht="14.25" hidden="false" customHeight="true" outlineLevel="0" collapsed="false">
      <c r="A687" s="511" t="n">
        <v>44042</v>
      </c>
      <c r="B687" s="507" t="n">
        <v>3246.219971</v>
      </c>
      <c r="C687" s="518" t="n">
        <f aca="false">(B687-B686)/B686</f>
        <v>-0.00375025172207098</v>
      </c>
      <c r="D687" s="512" t="n">
        <v>150.515414584099</v>
      </c>
      <c r="E687" s="518" t="n">
        <f aca="false">(D687-D686)/D686</f>
        <v>-0.00679835358866207</v>
      </c>
    </row>
    <row r="688" customFormat="false" ht="14.25" hidden="false" customHeight="true" outlineLevel="0" collapsed="false">
      <c r="A688" s="513" t="n">
        <v>44043</v>
      </c>
      <c r="B688" s="514" t="n">
        <v>3271.120117</v>
      </c>
      <c r="C688" s="515" t="n">
        <f aca="false">(B688-B687)/B687</f>
        <v>0.00767050484022789</v>
      </c>
      <c r="D688" s="516" t="n">
        <v>152.368734700474</v>
      </c>
      <c r="E688" s="515" t="n">
        <f aca="false">(D688-D687)/D687</f>
        <v>0.0123131582336337</v>
      </c>
    </row>
    <row r="689" customFormat="false" ht="14.25" hidden="false" customHeight="true" outlineLevel="0" collapsed="false">
      <c r="A689" s="511" t="n">
        <v>44046</v>
      </c>
      <c r="B689" s="507" t="n">
        <v>3294.610107</v>
      </c>
      <c r="C689" s="518" t="n">
        <f aca="false">(B689-B688)/B688</f>
        <v>0.00718102336808809</v>
      </c>
      <c r="D689" s="512" t="n">
        <v>154.262086933353</v>
      </c>
      <c r="E689" s="518" t="n">
        <f aca="false">(D689-D688)/D688</f>
        <v>0.0124261203363076</v>
      </c>
    </row>
    <row r="690" customFormat="false" ht="14.25" hidden="false" customHeight="true" outlineLevel="0" collapsed="false">
      <c r="A690" s="513" t="n">
        <v>44047</v>
      </c>
      <c r="B690" s="514" t="n">
        <v>3306.51001</v>
      </c>
      <c r="C690" s="515" t="n">
        <f aca="false">(B690-B689)/B689</f>
        <v>0.00361193058162375</v>
      </c>
      <c r="D690" s="516" t="n">
        <v>155.235288903954</v>
      </c>
      <c r="E690" s="515" t="n">
        <f aca="false">(D690-D689)/D689</f>
        <v>0.00630875667474573</v>
      </c>
    </row>
    <row r="691" customFormat="false" ht="14.25" hidden="false" customHeight="true" outlineLevel="0" collapsed="false">
      <c r="A691" s="511" t="n">
        <v>44048</v>
      </c>
      <c r="B691" s="507" t="n">
        <v>3327.77002</v>
      </c>
      <c r="C691" s="518" t="n">
        <f aca="false">(B691-B690)/B690</f>
        <v>0.00642974312362658</v>
      </c>
      <c r="D691" s="512" t="n">
        <v>157.021262001852</v>
      </c>
      <c r="E691" s="518" t="n">
        <f aca="false">(D691-D690)/D690</f>
        <v>0.011504942661607</v>
      </c>
    </row>
    <row r="692" customFormat="false" ht="14.25" hidden="false" customHeight="true" outlineLevel="0" collapsed="false">
      <c r="A692" s="513" t="n">
        <v>44049</v>
      </c>
      <c r="B692" s="514" t="n">
        <v>3349.159912</v>
      </c>
      <c r="C692" s="515" t="n">
        <f aca="false">(B692-B691)/B691</f>
        <v>0.00642769538503149</v>
      </c>
      <c r="D692" s="516" t="n">
        <v>158.779389310186</v>
      </c>
      <c r="E692" s="515" t="n">
        <f aca="false">(D692-D691)/D691</f>
        <v>0.0111967467712319</v>
      </c>
    </row>
    <row r="693" customFormat="false" ht="14.25" hidden="false" customHeight="true" outlineLevel="0" collapsed="false">
      <c r="A693" s="511" t="n">
        <v>44050</v>
      </c>
      <c r="B693" s="507" t="n">
        <v>3351.280029</v>
      </c>
      <c r="C693" s="518" t="n">
        <f aca="false">(B693-B692)/B692</f>
        <v>0.000633029492680712</v>
      </c>
      <c r="D693" s="512" t="n">
        <v>158.971773182292</v>
      </c>
      <c r="E693" s="518" t="n">
        <f aca="false">(D693-D692)/D692</f>
        <v>0.00121164260009951</v>
      </c>
    </row>
    <row r="694" customFormat="false" ht="14.25" hidden="false" customHeight="true" outlineLevel="0" collapsed="false">
      <c r="A694" s="513" t="n">
        <v>44053</v>
      </c>
      <c r="B694" s="514" t="n">
        <v>3360.469971</v>
      </c>
      <c r="C694" s="515" t="n">
        <f aca="false">(B694-B693)/B693</f>
        <v>0.00274221847189004</v>
      </c>
      <c r="D694" s="516" t="n">
        <v>159.785532262573</v>
      </c>
      <c r="E694" s="515" t="n">
        <f aca="false">(D694-D693)/D693</f>
        <v>0.0051188903790353</v>
      </c>
    </row>
    <row r="695" customFormat="false" ht="14.25" hidden="false" customHeight="true" outlineLevel="0" collapsed="false">
      <c r="A695" s="511" t="n">
        <v>44054</v>
      </c>
      <c r="B695" s="507" t="n">
        <v>3333.689941</v>
      </c>
      <c r="C695" s="518" t="n">
        <f aca="false">(B695-B694)/B694</f>
        <v>-0.00796913236276614</v>
      </c>
      <c r="D695" s="512" t="n">
        <v>157.635440133167</v>
      </c>
      <c r="E695" s="518" t="n">
        <f aca="false">(D695-D694)/D694</f>
        <v>-0.0134561126965663</v>
      </c>
    </row>
    <row r="696" customFormat="false" ht="14.25" hidden="false" customHeight="true" outlineLevel="0" collapsed="false">
      <c r="A696" s="513" t="n">
        <v>44055</v>
      </c>
      <c r="B696" s="514" t="n">
        <v>3380.350098</v>
      </c>
      <c r="C696" s="515" t="n">
        <f aca="false">(B696-B695)/B695</f>
        <v>0.0139965497169192</v>
      </c>
      <c r="D696" s="516" t="n">
        <v>161.57530227577</v>
      </c>
      <c r="E696" s="515" t="n">
        <f aca="false">(D696-D695)/D695</f>
        <v>0.024993504882371</v>
      </c>
    </row>
    <row r="697" customFormat="false" ht="14.25" hidden="false" customHeight="true" outlineLevel="0" collapsed="false">
      <c r="A697" s="511" t="n">
        <v>44056</v>
      </c>
      <c r="B697" s="507" t="n">
        <v>3373.429932</v>
      </c>
      <c r="C697" s="518" t="n">
        <f aca="false">(B697-B696)/B696</f>
        <v>-0.0020471743456674</v>
      </c>
      <c r="D697" s="512" t="n">
        <v>160.976124309725</v>
      </c>
      <c r="E697" s="518" t="n">
        <f aca="false">(D697-D696)/D696</f>
        <v>-0.00370835119975424</v>
      </c>
    </row>
    <row r="698" customFormat="false" ht="14.25" hidden="false" customHeight="true" outlineLevel="0" collapsed="false">
      <c r="A698" s="513" t="n">
        <v>44057</v>
      </c>
      <c r="B698" s="514" t="n">
        <v>3372.850098</v>
      </c>
      <c r="C698" s="515" t="n">
        <f aca="false">(B698-B697)/B697</f>
        <v>-0.000171882627381667</v>
      </c>
      <c r="D698" s="516" t="n">
        <v>160.924848925794</v>
      </c>
      <c r="E698" s="515" t="n">
        <f aca="false">(D698-D697)/D697</f>
        <v>-0.00031852788201276</v>
      </c>
    </row>
    <row r="699" customFormat="false" ht="14.25" hidden="false" customHeight="true" outlineLevel="0" collapsed="false">
      <c r="A699" s="511" t="n">
        <v>44060</v>
      </c>
      <c r="B699" s="507" t="n">
        <v>3381.98999</v>
      </c>
      <c r="C699" s="518" t="n">
        <f aca="false">(B699-B698)/B698</f>
        <v>0.00270984233939713</v>
      </c>
      <c r="D699" s="512" t="n">
        <v>161.694512132575</v>
      </c>
      <c r="E699" s="518" t="n">
        <f aca="false">(D699-D698)/D698</f>
        <v>0.00478274928899202</v>
      </c>
    </row>
    <row r="700" customFormat="false" ht="14.25" hidden="false" customHeight="true" outlineLevel="0" collapsed="false">
      <c r="A700" s="513" t="n">
        <v>44061</v>
      </c>
      <c r="B700" s="514" t="n">
        <v>3389.780029</v>
      </c>
      <c r="C700" s="515" t="n">
        <f aca="false">(B700-B699)/B699</f>
        <v>0.0023033891356964</v>
      </c>
      <c r="D700" s="516" t="n">
        <v>162.364278342339</v>
      </c>
      <c r="E700" s="515" t="n">
        <f aca="false">(D700-D699)/D699</f>
        <v>0.0041421703243388</v>
      </c>
    </row>
    <row r="701" customFormat="false" ht="14.25" hidden="false" customHeight="true" outlineLevel="0" collapsed="false">
      <c r="A701" s="511" t="n">
        <v>44062</v>
      </c>
      <c r="B701" s="507" t="n">
        <v>3374.850098</v>
      </c>
      <c r="C701" s="518" t="n">
        <f aca="false">(B701-B700)/B700</f>
        <v>-0.0044043952328094</v>
      </c>
      <c r="D701" s="512" t="n">
        <v>161.101599399351</v>
      </c>
      <c r="E701" s="518" t="n">
        <f aca="false">(D701-D700)/D700</f>
        <v>-0.00777682724229336</v>
      </c>
    </row>
    <row r="702" customFormat="false" ht="14.25" hidden="false" customHeight="true" outlineLevel="0" collapsed="false">
      <c r="A702" s="513" t="n">
        <v>44063</v>
      </c>
      <c r="B702" s="514" t="n">
        <v>3385.51001</v>
      </c>
      <c r="C702" s="515" t="n">
        <f aca="false">(B702-B701)/B701</f>
        <v>0.00315863273640431</v>
      </c>
      <c r="D702" s="516" t="n">
        <v>162.018292594599</v>
      </c>
      <c r="E702" s="515" t="n">
        <f aca="false">(D702-D701)/D701</f>
        <v>0.0056901557691903</v>
      </c>
    </row>
    <row r="703" customFormat="false" ht="14.25" hidden="false" customHeight="true" outlineLevel="0" collapsed="false">
      <c r="A703" s="511" t="n">
        <v>44064</v>
      </c>
      <c r="B703" s="507" t="n">
        <v>3397.159912</v>
      </c>
      <c r="C703" s="518" t="n">
        <f aca="false">(B703-B702)/B702</f>
        <v>0.00344110694270259</v>
      </c>
      <c r="D703" s="512" t="n">
        <v>163.073191767525</v>
      </c>
      <c r="E703" s="518" t="n">
        <f aca="false">(D703-D702)/D702</f>
        <v>0.00651098808679323</v>
      </c>
    </row>
    <row r="704" customFormat="false" ht="14.25" hidden="false" customHeight="true" outlineLevel="0" collapsed="false">
      <c r="A704" s="513" t="n">
        <v>44067</v>
      </c>
      <c r="B704" s="514" t="n">
        <v>3431.280029</v>
      </c>
      <c r="C704" s="515" t="n">
        <f aca="false">(B704-B703)/B703</f>
        <v>0.0100437182481388</v>
      </c>
      <c r="D704" s="516" t="n">
        <v>165.724799098248</v>
      </c>
      <c r="E704" s="515" t="n">
        <f aca="false">(D704-D703)/D703</f>
        <v>0.0162602283182334</v>
      </c>
    </row>
    <row r="705" customFormat="false" ht="14.25" hidden="false" customHeight="true" outlineLevel="0" collapsed="false">
      <c r="A705" s="511" t="n">
        <v>44068</v>
      </c>
      <c r="B705" s="507" t="n">
        <v>3443.620117</v>
      </c>
      <c r="C705" s="518" t="n">
        <f aca="false">(B705-B704)/B704</f>
        <v>0.00359635118547765</v>
      </c>
      <c r="D705" s="512" t="n">
        <v>166.854459449481</v>
      </c>
      <c r="E705" s="518" t="n">
        <f aca="false">(D705-D704)/D704</f>
        <v>0.00681648345558277</v>
      </c>
    </row>
    <row r="706" customFormat="false" ht="14.25" hidden="false" customHeight="true" outlineLevel="0" collapsed="false">
      <c r="A706" s="513" t="n">
        <v>44069</v>
      </c>
      <c r="B706" s="514" t="n">
        <v>3478.72998</v>
      </c>
      <c r="C706" s="515" t="n">
        <f aca="false">(B706-B705)/B705</f>
        <v>0.0101956260583665</v>
      </c>
      <c r="D706" s="516" t="n">
        <v>170.018959885778</v>
      </c>
      <c r="E706" s="515" t="n">
        <f aca="false">(D706-D705)/D705</f>
        <v>0.0189656329638294</v>
      </c>
    </row>
    <row r="707" customFormat="false" ht="14.25" hidden="false" customHeight="true" outlineLevel="0" collapsed="false">
      <c r="A707" s="511" t="n">
        <v>44070</v>
      </c>
      <c r="B707" s="507" t="n">
        <v>3484.550049</v>
      </c>
      <c r="C707" s="518" t="n">
        <f aca="false">(B707-B706)/B706</f>
        <v>0.00167304419528413</v>
      </c>
      <c r="D707" s="512" t="n">
        <v>170.554545406867</v>
      </c>
      <c r="E707" s="518" t="n">
        <f aca="false">(D707-D706)/D706</f>
        <v>0.00315015173277619</v>
      </c>
    </row>
    <row r="708" customFormat="false" ht="14.25" hidden="false" customHeight="true" outlineLevel="0" collapsed="false">
      <c r="A708" s="513" t="n">
        <v>44071</v>
      </c>
      <c r="B708" s="514" t="n">
        <v>3508.01001</v>
      </c>
      <c r="C708" s="515" t="n">
        <f aca="false">(B708-B707)/B707</f>
        <v>0.00673256537289014</v>
      </c>
      <c r="D708" s="516" t="n">
        <v>172.747190339845</v>
      </c>
      <c r="E708" s="515" t="n">
        <f aca="false">(D708-D707)/D707</f>
        <v>0.0128559747718674</v>
      </c>
    </row>
    <row r="709" customFormat="false" ht="14.25" hidden="false" customHeight="true" outlineLevel="0" collapsed="false">
      <c r="A709" s="511" t="n">
        <v>44074</v>
      </c>
      <c r="B709" s="507" t="n">
        <v>3500.310059</v>
      </c>
      <c r="C709" s="518" t="n">
        <f aca="false">(B709-B708)/B708</f>
        <v>-0.00219496266488705</v>
      </c>
      <c r="D709" s="512" t="n">
        <v>172.040356621407</v>
      </c>
      <c r="E709" s="518" t="n">
        <f aca="false">(D709-D708)/D708</f>
        <v>-0.00409172338518178</v>
      </c>
    </row>
    <row r="710" customFormat="false" ht="14.25" hidden="false" customHeight="true" outlineLevel="0" collapsed="false">
      <c r="A710" s="513" t="n">
        <v>44075</v>
      </c>
      <c r="B710" s="514" t="n">
        <v>3526.649902</v>
      </c>
      <c r="C710" s="515" t="n">
        <f aca="false">(B710-B709)/B709</f>
        <v>0.00752500280147331</v>
      </c>
      <c r="D710" s="516" t="n">
        <v>174.223327647046</v>
      </c>
      <c r="E710" s="515" t="n">
        <f aca="false">(D710-D709)/D709</f>
        <v>0.0126887148370825</v>
      </c>
    </row>
    <row r="711" customFormat="false" ht="14.25" hidden="false" customHeight="true" outlineLevel="0" collapsed="false">
      <c r="A711" s="511" t="n">
        <v>44076</v>
      </c>
      <c r="B711" s="507" t="n">
        <v>3580.840088</v>
      </c>
      <c r="C711" s="518" t="n">
        <f aca="false">(B711-B710)/B710</f>
        <v>0.0153659102847912</v>
      </c>
      <c r="D711" s="512" t="n">
        <v>179.281687597602</v>
      </c>
      <c r="E711" s="518" t="n">
        <f aca="false">(D711-D710)/D710</f>
        <v>0.0290337695810953</v>
      </c>
    </row>
    <row r="712" customFormat="false" ht="14.25" hidden="false" customHeight="true" outlineLevel="0" collapsed="false">
      <c r="A712" s="513" t="n">
        <v>44077</v>
      </c>
      <c r="B712" s="514" t="n">
        <v>3455.060059</v>
      </c>
      <c r="C712" s="515" t="n">
        <f aca="false">(B712-B711)/B711</f>
        <v>-0.0351258436313619</v>
      </c>
      <c r="D712" s="516" t="n">
        <v>167.31338221032</v>
      </c>
      <c r="E712" s="515" t="n">
        <f aca="false">(D712-D711)/D711</f>
        <v>-0.0667569875521525</v>
      </c>
    </row>
    <row r="713" customFormat="false" ht="14.25" hidden="false" customHeight="true" outlineLevel="0" collapsed="false">
      <c r="A713" s="511" t="n">
        <v>44078</v>
      </c>
      <c r="B713" s="507" t="n">
        <v>3426.959961</v>
      </c>
      <c r="C713" s="518" t="n">
        <f aca="false">(B713-B712)/B712</f>
        <v>-0.00813302736281028</v>
      </c>
      <c r="D713" s="512" t="n">
        <v>164.781292771908</v>
      </c>
      <c r="E713" s="518" t="n">
        <f aca="false">(D713-D712)/D712</f>
        <v>-0.0151338129978691</v>
      </c>
    </row>
    <row r="714" customFormat="false" ht="14.25" hidden="false" customHeight="true" outlineLevel="0" collapsed="false">
      <c r="G714" s="518"/>
    </row>
    <row r="715" customFormat="false" ht="14.25" hidden="false" customHeight="true" outlineLevel="0" collapsed="false">
      <c r="D715" s="521" t="n">
        <f aca="false">_xlfn.COVARIANCE.P(C4:C713,E4:E713)/_xlfn.VAR.P(C4:C713)</f>
        <v>1.74352346035561</v>
      </c>
    </row>
    <row r="716" customFormat="false" ht="14.25" hidden="false" customHeight="true" outlineLevel="0" collapsed="false">
      <c r="D716" s="522" t="n">
        <f aca="false">SLOPE(E4:E713,C4:C713)</f>
        <v>1.7435234603556</v>
      </c>
      <c r="G716" s="458" t="s">
        <v>365</v>
      </c>
    </row>
  </sheetData>
  <mergeCells count="2">
    <mergeCell ref="C1:C2"/>
    <mergeCell ref="E1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2020-09-03T13:09:45Z</dcterms:created>
  <dc:creator>Demo107</dc:creator>
  <dc:description/>
  <dc:language>en-US</dc:language>
  <cp:lastModifiedBy>Dhiren Mahibubani</cp:lastModifiedBy>
  <dcterms:modified xsi:type="dcterms:W3CDTF">2026-07-26T08:43:29Z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